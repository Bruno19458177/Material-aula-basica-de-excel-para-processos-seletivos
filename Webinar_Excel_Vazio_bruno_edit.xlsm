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Bruno\Desktop\"/>
    </mc:Choice>
  </mc:AlternateContent>
  <bookViews>
    <workbookView xWindow="0" yWindow="0" windowWidth="20490" windowHeight="7755" firstSheet="1" activeTab="10"/>
  </bookViews>
  <sheets>
    <sheet name="Q1" sheetId="2" r:id="rId1"/>
    <sheet name="Q2" sheetId="4" r:id="rId2"/>
    <sheet name="Q3" sheetId="5" r:id="rId3"/>
    <sheet name="Dados KPI" sheetId="6" r:id="rId4"/>
    <sheet name="Q4" sheetId="7" r:id="rId5"/>
    <sheet name="À Fazer Q5" sheetId="8" r:id="rId6"/>
    <sheet name="Q5" sheetId="9" r:id="rId7"/>
    <sheet name="Q6" sheetId="10" r:id="rId8"/>
    <sheet name="À Fazer Q7" sheetId="16" r:id="rId9"/>
    <sheet name="Q7" sheetId="13" r:id="rId10"/>
    <sheet name="Q8" sheetId="17" r:id="rId11"/>
    <sheet name="Q8 Dados" sheetId="11" r:id="rId12"/>
  </sheets>
  <definedNames>
    <definedName name="_xlnm._FilterDatabase" localSheetId="1" hidden="1">'Q2'!$B$3:$B$21</definedName>
    <definedName name="_xlnm._FilterDatabase" localSheetId="7" hidden="1">'Q6'!$B$5:$H$20</definedName>
    <definedName name="anscount" hidden="1">4</definedName>
    <definedName name="Local">'Q2'!$C$4:$C$21</definedName>
    <definedName name="Produto">'Q2'!$B$4:$B$21</definedName>
    <definedName name="Vendas">'Q2'!$D$4:$D$21</definedName>
  </definedNames>
  <calcPr calcId="152511"/>
  <pivotCaches>
    <pivotCache cacheId="7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9" i="9"/>
  <c r="H46" i="9"/>
  <c r="H47" i="9"/>
  <c r="H48" i="9"/>
  <c r="H50" i="9"/>
  <c r="H51" i="9"/>
  <c r="H45" i="9"/>
  <c r="H52" i="9"/>
  <c r="H53" i="9"/>
  <c r="H54" i="9"/>
  <c r="F5" i="7" l="1"/>
  <c r="F6" i="7"/>
  <c r="F7" i="7"/>
  <c r="F8" i="7"/>
  <c r="F4" i="7"/>
  <c r="E5" i="7"/>
  <c r="E6" i="7"/>
  <c r="E7" i="7"/>
  <c r="E8" i="7"/>
  <c r="E4" i="7"/>
  <c r="I5" i="5"/>
  <c r="I6" i="5"/>
  <c r="I7" i="5"/>
  <c r="I4" i="5"/>
  <c r="H4" i="5"/>
  <c r="H5" i="5"/>
  <c r="H6" i="5"/>
  <c r="H7" i="5"/>
  <c r="F5" i="5"/>
  <c r="F6" i="5"/>
  <c r="F7" i="5"/>
  <c r="F4" i="5"/>
  <c r="E5" i="5"/>
  <c r="E6" i="5"/>
  <c r="E7" i="5"/>
  <c r="E4" i="5"/>
  <c r="D5" i="5"/>
  <c r="D6" i="5"/>
  <c r="D7" i="5"/>
  <c r="D4" i="5"/>
  <c r="H16" i="4"/>
  <c r="I6" i="4"/>
  <c r="I7" i="4"/>
  <c r="I8" i="4"/>
  <c r="I9" i="4"/>
  <c r="I5" i="4"/>
  <c r="H6" i="4"/>
  <c r="H7" i="4"/>
  <c r="H8" i="4"/>
  <c r="H9" i="4"/>
  <c r="H5" i="4"/>
  <c r="G6" i="4"/>
  <c r="G7" i="4"/>
  <c r="G8" i="4"/>
  <c r="G9" i="4"/>
  <c r="G5" i="4"/>
  <c r="E10" i="2"/>
  <c r="F10" i="2"/>
  <c r="E11" i="2"/>
  <c r="F11" i="2"/>
  <c r="E12" i="2"/>
  <c r="F12" i="2"/>
  <c r="E13" i="2"/>
  <c r="F13" i="2"/>
  <c r="E14" i="2"/>
  <c r="F14" i="2"/>
  <c r="D11" i="2"/>
  <c r="D12" i="2"/>
  <c r="D13" i="2"/>
  <c r="D14" i="2"/>
  <c r="D10" i="2"/>
  <c r="G8" i="10" l="1"/>
  <c r="G18" i="10"/>
  <c r="G10" i="10"/>
  <c r="G20" i="10"/>
  <c r="G13" i="10"/>
  <c r="G17" i="10"/>
  <c r="G7" i="10"/>
  <c r="G12" i="10"/>
  <c r="G19" i="10"/>
  <c r="G6" i="10"/>
  <c r="G15" i="10"/>
  <c r="G11" i="10"/>
  <c r="G9" i="10"/>
  <c r="G16" i="10"/>
  <c r="G14" i="10"/>
  <c r="C16" i="10" l="1"/>
  <c r="H16" i="10"/>
  <c r="C12" i="10"/>
  <c r="H12" i="10"/>
  <c r="C17" i="10"/>
  <c r="H17" i="10"/>
  <c r="C20" i="10"/>
  <c r="H20" i="10"/>
  <c r="C18" i="10"/>
  <c r="H18" i="10"/>
  <c r="C11" i="10"/>
  <c r="H11" i="10"/>
  <c r="C6" i="10"/>
  <c r="H6" i="10"/>
  <c r="C14" i="10"/>
  <c r="H14" i="10"/>
  <c r="H9" i="10"/>
  <c r="C9" i="10"/>
  <c r="H15" i="10"/>
  <c r="C15" i="10"/>
  <c r="H19" i="10"/>
  <c r="C19" i="10"/>
  <c r="H7" i="10"/>
  <c r="C7" i="10"/>
  <c r="H13" i="10"/>
  <c r="C13" i="10"/>
  <c r="H10" i="10"/>
  <c r="C10" i="10"/>
  <c r="H8" i="10"/>
  <c r="C8" i="10"/>
  <c r="D22" i="4"/>
  <c r="I10" i="4"/>
  <c r="G10" i="4"/>
</calcChain>
</file>

<file path=xl/sharedStrings.xml><?xml version="1.0" encoding="utf-8"?>
<sst xmlns="http://schemas.openxmlformats.org/spreadsheetml/2006/main" count="697" uniqueCount="400">
  <si>
    <t>Margem de Lucro</t>
  </si>
  <si>
    <t xml:space="preserve">À Fazer: </t>
  </si>
  <si>
    <t>1) Utilizando uma única fórmula na célula D10 calcule o preço de venda para os produtos onde:</t>
  </si>
  <si>
    <t xml:space="preserve">     a) O custo dos produtos é igual para os locais de vendas, mas a margem de lucro e diferente para cada local de venda</t>
  </si>
  <si>
    <t>Preço de Venda</t>
  </si>
  <si>
    <t xml:space="preserve">     b) Ao montar a fórmula única, copie para as demais para obter os respectivos preços de venda dos produtos para cada local</t>
  </si>
  <si>
    <t>Produto</t>
  </si>
  <si>
    <t>Custo</t>
  </si>
  <si>
    <t>SP</t>
  </si>
  <si>
    <t>RJ</t>
  </si>
  <si>
    <t>PR</t>
  </si>
  <si>
    <t>A</t>
  </si>
  <si>
    <t>B</t>
  </si>
  <si>
    <t>C</t>
  </si>
  <si>
    <t>D</t>
  </si>
  <si>
    <t>E</t>
  </si>
  <si>
    <t>Local</t>
  </si>
  <si>
    <t>Vendas</t>
  </si>
  <si>
    <t>Resumo Vendas</t>
  </si>
  <si>
    <t>À Fazer</t>
  </si>
  <si>
    <t>Total Vendas</t>
  </si>
  <si>
    <t>Média Vendas</t>
  </si>
  <si>
    <t>Nº Vendas</t>
  </si>
  <si>
    <r>
      <t xml:space="preserve">1) Definir nome para a região de B4:B21 como </t>
    </r>
    <r>
      <rPr>
        <b/>
        <sz val="10"/>
        <color rgb="FFC00000"/>
        <rFont val="Calibri"/>
        <family val="2"/>
        <scheme val="minor"/>
      </rPr>
      <t>Produto,</t>
    </r>
    <r>
      <rPr>
        <b/>
        <sz val="10"/>
        <color theme="1"/>
        <rFont val="Calibri"/>
        <family val="2"/>
        <scheme val="minor"/>
      </rPr>
      <t xml:space="preserve"> para a região de C4:C21 como </t>
    </r>
    <r>
      <rPr>
        <b/>
        <sz val="10"/>
        <color rgb="FFC00000"/>
        <rFont val="Calibri"/>
        <family val="2"/>
        <scheme val="minor"/>
      </rPr>
      <t xml:space="preserve">Local </t>
    </r>
    <r>
      <rPr>
        <b/>
        <sz val="10"/>
        <rFont val="Calibri"/>
        <family val="2"/>
        <scheme val="minor"/>
      </rPr>
      <t>e para a região</t>
    </r>
  </si>
  <si>
    <r>
      <t xml:space="preserve">    de D4:D21 como </t>
    </r>
    <r>
      <rPr>
        <b/>
        <sz val="10"/>
        <color rgb="FFC00000"/>
        <rFont val="Calibri"/>
        <family val="2"/>
        <scheme val="minor"/>
      </rPr>
      <t>Vendas</t>
    </r>
    <r>
      <rPr>
        <b/>
        <sz val="10"/>
        <rFont val="Calibri"/>
        <family val="2"/>
        <scheme val="minor"/>
      </rPr>
      <t>.</t>
    </r>
  </si>
  <si>
    <t>2) Crie uma validação de dados na célula I13 para permitir uma lista contendo os itens: SP;RJ;PR.</t>
  </si>
  <si>
    <t>Utilizando as regiões nomeadas:</t>
  </si>
  <si>
    <t>2) Posicione na célula G5 e calcule o total de vendas do produto A. Copie a fórmula para os demais produtos.</t>
  </si>
  <si>
    <t>3) Posicione na célula H5 e calcule a média de vendas do produto A. Copie a fórmula para os demais produtos.</t>
  </si>
  <si>
    <t>Total</t>
  </si>
  <si>
    <t>4) Posicione na célula I5 e calcule o nº de vendas do produto A. Copie a fórmula para os demais produtos.</t>
  </si>
  <si>
    <r>
      <t xml:space="preserve">5) Posicione na célula G16 e calcule o total de vendas só do Produto selecionado na célula </t>
    </r>
    <r>
      <rPr>
        <b/>
        <sz val="10"/>
        <color rgb="FFC00000"/>
        <rFont val="Calibri"/>
        <family val="2"/>
        <scheme val="minor"/>
      </rPr>
      <t>G13</t>
    </r>
    <r>
      <rPr>
        <b/>
        <sz val="10"/>
        <color theme="1"/>
        <rFont val="Calibri"/>
        <family val="2"/>
        <scheme val="minor"/>
      </rPr>
      <t xml:space="preserve"> e do local </t>
    </r>
  </si>
  <si>
    <r>
      <t xml:space="preserve">     selecionado na célula</t>
    </r>
    <r>
      <rPr>
        <b/>
        <sz val="10"/>
        <color rgb="FFC00000"/>
        <rFont val="Calibri"/>
        <family val="2"/>
        <scheme val="minor"/>
      </rPr>
      <t xml:space="preserve"> I13</t>
    </r>
    <r>
      <rPr>
        <b/>
        <sz val="10"/>
        <color theme="1"/>
        <rFont val="Calibri"/>
        <family val="2"/>
        <scheme val="minor"/>
      </rPr>
      <t xml:space="preserve">. Selecione para resultado o Produto </t>
    </r>
    <r>
      <rPr>
        <b/>
        <sz val="10"/>
        <color rgb="FFC00000"/>
        <rFont val="Calibri"/>
        <family val="2"/>
        <scheme val="minor"/>
      </rPr>
      <t>C</t>
    </r>
    <r>
      <rPr>
        <b/>
        <sz val="10"/>
        <color theme="1"/>
        <rFont val="Calibri"/>
        <family val="2"/>
        <scheme val="minor"/>
      </rPr>
      <t xml:space="preserve"> e o Local </t>
    </r>
    <r>
      <rPr>
        <b/>
        <sz val="10"/>
        <color rgb="FFC00000"/>
        <rFont val="Calibri"/>
        <family val="2"/>
        <scheme val="minor"/>
      </rPr>
      <t>RJ</t>
    </r>
    <r>
      <rPr>
        <b/>
        <sz val="10"/>
        <color theme="1"/>
        <rFont val="Calibri"/>
        <family val="2"/>
        <scheme val="minor"/>
      </rPr>
      <t>.</t>
    </r>
  </si>
  <si>
    <t>Produto:</t>
  </si>
  <si>
    <t>Local:</t>
  </si>
  <si>
    <t>KPI - Resumo Compacto</t>
  </si>
  <si>
    <t>Valores Mês</t>
  </si>
  <si>
    <t>Média 3 Últimos Meses</t>
  </si>
  <si>
    <t>Média 6 Últimos Meses</t>
  </si>
  <si>
    <t>Gráfico Tendência   6 Últimos meses</t>
  </si>
  <si>
    <t>Meta</t>
  </si>
  <si>
    <t>% Meta</t>
  </si>
  <si>
    <t>Financeiro</t>
  </si>
  <si>
    <t>Receitas - R$</t>
  </si>
  <si>
    <t>Despesas - R$</t>
  </si>
  <si>
    <t>Lucros - R$</t>
  </si>
  <si>
    <t>% Market Share</t>
  </si>
  <si>
    <t>1) Na coluna D - Apresentar os valores da guia de planilha Dados KPI do mês junho.</t>
  </si>
  <si>
    <t>2) Na coluna E - Mostrar a Média dos 3 últimos meses dos valores da guia de planilha Dados KPI.</t>
  </si>
  <si>
    <t>3) Na coluna F - Mostrar a Média dos 6 últimos meses dos valores da guia de planilha Dados KPI.</t>
  </si>
  <si>
    <t>4) Na coluna G - Criar um minigráfico dos 6 últimos meses dos valores da guia de planilha Dados KPI. Mostrando o último ponto na cor azul.</t>
  </si>
  <si>
    <t>5) Na coluna H - Apresentar os valores de meta da guia de planilha Dados KPI do mês de junho.</t>
  </si>
  <si>
    <t>6) Na coluna I - Calcular a % Meta | 1-(Meta/Valores Mês)</t>
  </si>
  <si>
    <t>7) Na coluna I - Aplicar uma formatação condicional - utilizando o conjunto de Ícones 3 sinalizadores para:</t>
  </si>
  <si>
    <t xml:space="preserve">     Valores &gt;0 mostrar o sinalizador verde, para valores = 0, mostrar o sinalizador amarelo e tudo que for menor mostrar o sinalizador vermelho.</t>
  </si>
  <si>
    <t>Atual</t>
  </si>
  <si>
    <t>Jan</t>
  </si>
  <si>
    <t>Fev</t>
  </si>
  <si>
    <t>Mar</t>
  </si>
  <si>
    <t>Abr</t>
  </si>
  <si>
    <t>Mai</t>
  </si>
  <si>
    <t>Jun</t>
  </si>
  <si>
    <t>Metas</t>
  </si>
  <si>
    <t>ID</t>
  </si>
  <si>
    <t>Cliente</t>
  </si>
  <si>
    <t>Valor</t>
  </si>
  <si>
    <t>Data Pgto.</t>
  </si>
  <si>
    <t>Valor Pago</t>
  </si>
  <si>
    <t>Relatório Financeiro</t>
  </si>
  <si>
    <t>1. Na coluna Data Pgto efetue uma pesquisa na base do Relatório Financeiro, se tiver o identificador (ID) correspondente</t>
  </si>
  <si>
    <t xml:space="preserve">    apresente a data do pagamento do relatório financeiro caso aconteça o erro apresente o texto "EM ABERTO".</t>
  </si>
  <si>
    <t>2. Na coluna Valor Pago efetue uma pesquisa na guia de planilha Relatório Financeiro, se tiver o identificador correspondente</t>
  </si>
  <si>
    <t xml:space="preserve">     apresente o valor pago do pagamento do relatório financeiro caso aconteça o erro apresente o número 0 (Zero).</t>
  </si>
  <si>
    <t>3) Utilze a formatação condicional para pintar a linha onde a Data Pgto está como EM ABERTO com o preenchimento na cor</t>
  </si>
  <si>
    <t xml:space="preserve">      vermelho e a cor da fonte branco.</t>
  </si>
  <si>
    <t xml:space="preserve">1) Na planilha Q5, transforme os dados da célula B3:H57 em uma Tabela. Lembrando que a tabela tem cabeçalhos. </t>
  </si>
  <si>
    <t>2) Renomeie a Tabela para TBL_RH.</t>
  </si>
  <si>
    <t>3) Defina o Estilo Nenhuma para a Tabela.</t>
  </si>
  <si>
    <t xml:space="preserve">4) Crie uma fórmula na célula H4 para calcular o valor do bônus utilizando a função lógica para calcular 5% de bônus sobre os salários maiores </t>
  </si>
  <si>
    <t xml:space="preserve">    ou iguais a dez mil (10.000) ou 7,5% para os salários menores que dez mil.</t>
  </si>
  <si>
    <t>5) Remover as duplicidades.</t>
  </si>
  <si>
    <t>6) Filtre somente os registros que foram admitidos em 2020 e que o Salário é maior ou igual a cinco mil (5.000).</t>
  </si>
  <si>
    <t>7) Classifique pela coluna salário do Maior para o Menor.</t>
  </si>
  <si>
    <t>8) Desligue o botão Filtrar.</t>
  </si>
  <si>
    <t>RA</t>
  </si>
  <si>
    <t>Nome</t>
  </si>
  <si>
    <t>Depto</t>
  </si>
  <si>
    <t>Cargo</t>
  </si>
  <si>
    <t>Admissão</t>
  </si>
  <si>
    <t>Salário</t>
  </si>
  <si>
    <t>Bônus</t>
  </si>
  <si>
    <t>Felice</t>
  </si>
  <si>
    <t>Adm</t>
  </si>
  <si>
    <t>Assist. Admin.</t>
  </si>
  <si>
    <t>Jason</t>
  </si>
  <si>
    <t>Aaron</t>
  </si>
  <si>
    <t>Iain</t>
  </si>
  <si>
    <t>Linda</t>
  </si>
  <si>
    <t>Kris</t>
  </si>
  <si>
    <t>Lisa</t>
  </si>
  <si>
    <t>Ellen</t>
  </si>
  <si>
    <t>Tammy</t>
  </si>
  <si>
    <t>Melissa</t>
  </si>
  <si>
    <t>Comercial</t>
  </si>
  <si>
    <t>Gerente de Vendas</t>
  </si>
  <si>
    <t>Burt</t>
  </si>
  <si>
    <t>Sheryl</t>
  </si>
  <si>
    <t>Projetos</t>
  </si>
  <si>
    <t>Assist. Projetos</t>
  </si>
  <si>
    <t>Rob</t>
  </si>
  <si>
    <t>Howard</t>
  </si>
  <si>
    <t>Larry</t>
  </si>
  <si>
    <t>Contabilidade</t>
  </si>
  <si>
    <t>Assistente Contábil</t>
  </si>
  <si>
    <t>Ursula</t>
  </si>
  <si>
    <t>Contador</t>
  </si>
  <si>
    <t>Phillip</t>
  </si>
  <si>
    <t>Mark</t>
  </si>
  <si>
    <t>Anna</t>
  </si>
  <si>
    <t>Frank</t>
  </si>
  <si>
    <t>Hazel</t>
  </si>
  <si>
    <t>Rose</t>
  </si>
  <si>
    <t>Tom</t>
  </si>
  <si>
    <t>Bob</t>
  </si>
  <si>
    <t>Daoud</t>
  </si>
  <si>
    <t>Produção</t>
  </si>
  <si>
    <t>Assist. Técnico</t>
  </si>
  <si>
    <t>Tommie</t>
  </si>
  <si>
    <t>Jay</t>
  </si>
  <si>
    <t>Engenharia</t>
  </si>
  <si>
    <t>Engenheiro Chefe</t>
  </si>
  <si>
    <t>Sandrae</t>
  </si>
  <si>
    <t>Sherrie</t>
  </si>
  <si>
    <t>Pam</t>
  </si>
  <si>
    <t>Stephanie</t>
  </si>
  <si>
    <t>Barbara</t>
  </si>
  <si>
    <t>Brad</t>
  </si>
  <si>
    <t>Sam</t>
  </si>
  <si>
    <t>Vendedor</t>
  </si>
  <si>
    <t>Janet</t>
  </si>
  <si>
    <t>Pete</t>
  </si>
  <si>
    <t>Randy</t>
  </si>
  <si>
    <t>Theo</t>
  </si>
  <si>
    <t>Kendrick</t>
  </si>
  <si>
    <t>Rowena</t>
  </si>
  <si>
    <t>Sara</t>
  </si>
  <si>
    <t>Matt</t>
  </si>
  <si>
    <t>Carla</t>
  </si>
  <si>
    <t>Charles</t>
  </si>
  <si>
    <t>Cara</t>
  </si>
  <si>
    <t>Hilda</t>
  </si>
  <si>
    <t>Maria</t>
  </si>
  <si>
    <t>Analista</t>
  </si>
  <si>
    <t>Alerta</t>
  </si>
  <si>
    <t>Investimento</t>
  </si>
  <si>
    <t>Crédito</t>
  </si>
  <si>
    <t>Débito</t>
  </si>
  <si>
    <t>Saldo Atual</t>
  </si>
  <si>
    <t>Situação</t>
  </si>
  <si>
    <t>APROVADO</t>
  </si>
  <si>
    <t>ALFA</t>
  </si>
  <si>
    <t>ANÁLISE</t>
  </si>
  <si>
    <t>BETA</t>
  </si>
  <si>
    <t>NÃO APROVADO</t>
  </si>
  <si>
    <t>GAMA</t>
  </si>
  <si>
    <t xml:space="preserve">1) Utilizando a função lógica mostre na coluna Situação (H) o seguinte: </t>
  </si>
  <si>
    <t>F</t>
  </si>
  <si>
    <t xml:space="preserve">    a) Caso o saldo atual do cliente for maior que 3.000 mostrar o conteúdo da célula J5 (APROVADO), </t>
  </si>
  <si>
    <t>G</t>
  </si>
  <si>
    <t xml:space="preserve">        caso o saldo atual é menor que zero, mostrar o conteúdo da célula J7 (NÃO APROVADO), caso contrário mostrar o </t>
  </si>
  <si>
    <t>H</t>
  </si>
  <si>
    <t xml:space="preserve">        conteúdo da célula J6 (ANÁLISE).     </t>
  </si>
  <si>
    <t>I</t>
  </si>
  <si>
    <t>2) Na coluna alerta apresentar o sinalizador 3 semáforos (Não Coroados) para valores menores que 0 o vermelho</t>
  </si>
  <si>
    <t>J</t>
  </si>
  <si>
    <t xml:space="preserve">     para os valores maiores que 3000 o verde e os valores intermediários o amarelo.</t>
  </si>
  <si>
    <t>K</t>
  </si>
  <si>
    <t>L</t>
  </si>
  <si>
    <t>M</t>
  </si>
  <si>
    <t>N</t>
  </si>
  <si>
    <t>O</t>
  </si>
  <si>
    <t>1)</t>
  </si>
  <si>
    <t>Negócios | Projetado x Real</t>
  </si>
  <si>
    <t xml:space="preserve">2) </t>
  </si>
  <si>
    <t>Avaliações</t>
  </si>
  <si>
    <t xml:space="preserve">1) Crie um gráfico de combinação para mostrar os valores de Negócios mensalmente </t>
  </si>
  <si>
    <t>Mês</t>
  </si>
  <si>
    <t>Projetado</t>
  </si>
  <si>
    <t>Real</t>
  </si>
  <si>
    <t>Avaliação Suporte Web</t>
  </si>
  <si>
    <t xml:space="preserve">     do Projetado (apresentar como linha com marcadores  x Real (apresentar como coluna agrupada).</t>
  </si>
  <si>
    <t>Excelente</t>
  </si>
  <si>
    <t xml:space="preserve">     Mostre esse gráfico na guia de Planilha Q7 dentro do quadro disponível na planilha.</t>
  </si>
  <si>
    <t>Bom</t>
  </si>
  <si>
    <t xml:space="preserve">2) Usando os dados de Avaliações, crie um gráfico de barras agrupadas e apresente os valores </t>
  </si>
  <si>
    <t>Médio</t>
  </si>
  <si>
    <t xml:space="preserve">     de rótulos de dados. Mostre esse gráfico na guia de Planilha Q7 dentro do quadro disponível na planilha.</t>
  </si>
  <si>
    <t>Ruim</t>
  </si>
  <si>
    <t>3) Desligue as linhas de grade e o que achar necessário.</t>
  </si>
  <si>
    <t>Insatisfatório</t>
  </si>
  <si>
    <t>4) O tamanho do gráfico deve ser 4,5 cm de altura e 7,5 de largura. (Ambos).</t>
  </si>
  <si>
    <t xml:space="preserve">5) Insira os títulos dos gráficos dinâmicos apresentando o conteúdo das células B2 </t>
  </si>
  <si>
    <t>Jul</t>
  </si>
  <si>
    <t xml:space="preserve">    no primeiro gráfico e G2 no segundo gráfico.</t>
  </si>
  <si>
    <t>Ago</t>
  </si>
  <si>
    <t>Set</t>
  </si>
  <si>
    <t>Out</t>
  </si>
  <si>
    <t>Nov</t>
  </si>
  <si>
    <t>Dez</t>
  </si>
  <si>
    <t>1) Crie um resumo de dados utilizando a tabela dinâmica na célula B6:</t>
  </si>
  <si>
    <t xml:space="preserve">     a) Utilize os dados da tabela chamada TBL_DADOS (guia de planilha Q8 Dados)</t>
  </si>
  <si>
    <t xml:space="preserve">     b) Neste resumo apresente o campo Linha do Produto e o Produto e a soma total de vendas.</t>
  </si>
  <si>
    <t xml:space="preserve">     c) Formate o número da soma total de vendas para Número sem nenhuma casa decimal </t>
  </si>
  <si>
    <t xml:space="preserve">          mas com separador de milhar.</t>
  </si>
  <si>
    <t xml:space="preserve">    d) Exiba os totais no final do grupo.</t>
  </si>
  <si>
    <t xml:space="preserve">    e) Insira uma linha em branco após cada item.</t>
  </si>
  <si>
    <t xml:space="preserve">2) Crie uma macro (nome: CincoMaioresVendas) que exiba na Tabela Dinâmica já existente somente as cinco maiores vendas </t>
  </si>
  <si>
    <t xml:space="preserve">    de produtos por linha e classifique os valores dos Maiores para os Menores.</t>
  </si>
  <si>
    <t xml:space="preserve">3) Crie uma macro (nome: CincoMenoresVendas) que exiba na Tabela Dinâmica já existente somente as cinco menores vendas </t>
  </si>
  <si>
    <t>4) Crie uma outra macro (nome da macro: ExibeVendasTotal) que volte a exibir na tabela dinâmica  já existente</t>
  </si>
  <si>
    <t xml:space="preserve">     todos os resultados do resumo criado inicialmente.</t>
  </si>
  <si>
    <t>5) Atribua as macros aos respectivos botões.</t>
  </si>
  <si>
    <t>Código</t>
  </si>
  <si>
    <t>Linha</t>
  </si>
  <si>
    <t>KA_TAV01</t>
  </si>
  <si>
    <t>Smart TV OLED KA 65</t>
  </si>
  <si>
    <t>Ouro</t>
  </si>
  <si>
    <t>KA_TAV02</t>
  </si>
  <si>
    <t>Smart TV NanoCell KA 86</t>
  </si>
  <si>
    <t>KA_TAV03</t>
  </si>
  <si>
    <t>Smart TV KA 65</t>
  </si>
  <si>
    <t>KA_TAV04</t>
  </si>
  <si>
    <t>Smart TV KA 49</t>
  </si>
  <si>
    <t>KA_TAV05</t>
  </si>
  <si>
    <t>Smart TV NanoCell Display KA 65</t>
  </si>
  <si>
    <t>KA_TAV06</t>
  </si>
  <si>
    <t>Smart TV NanoCell Display KA 75</t>
  </si>
  <si>
    <t>KA_TAV07</t>
  </si>
  <si>
    <t>Smart TV KA 75 4K HDR</t>
  </si>
  <si>
    <t>KA_TAV08</t>
  </si>
  <si>
    <t>Smart TV KA 65 4K HDR</t>
  </si>
  <si>
    <t>KA_TAV09</t>
  </si>
  <si>
    <t>Smart TV KA 82 4K HDR</t>
  </si>
  <si>
    <t>KA_TAV10</t>
  </si>
  <si>
    <t>Smart TV KA 50 4K HDR</t>
  </si>
  <si>
    <t>KA_TAV11</t>
  </si>
  <si>
    <t>Smart TV KA 70 4K HDR</t>
  </si>
  <si>
    <t>KA_TAV12</t>
  </si>
  <si>
    <t>Smart TV KA 60 4K HDR</t>
  </si>
  <si>
    <t>KA_TAV13</t>
  </si>
  <si>
    <t>Smart TV OLED KA 77</t>
  </si>
  <si>
    <t>KA_TAV14</t>
  </si>
  <si>
    <t>Smart TV KA 32 HDR Ativo</t>
  </si>
  <si>
    <t>KA_TAV15</t>
  </si>
  <si>
    <t>Smart TV KA 43 Full HD HDR Ativo</t>
  </si>
  <si>
    <t>KA_TAV16</t>
  </si>
  <si>
    <t>KA Game Full 43 HD TV</t>
  </si>
  <si>
    <t>KA_TAV17</t>
  </si>
  <si>
    <t>KA Game Full 49 HD TV</t>
  </si>
  <si>
    <t>KA_TAV18</t>
  </si>
  <si>
    <t>KA Game Full 55 HD TV</t>
  </si>
  <si>
    <t>KA_TAV19</t>
  </si>
  <si>
    <t>TV Tela Curva 79 KA Ultra HD</t>
  </si>
  <si>
    <t>KA_TAV20</t>
  </si>
  <si>
    <t>KA XBOOM CL65</t>
  </si>
  <si>
    <t>KA_TAV21</t>
  </si>
  <si>
    <t>Mini System KA XBOOM OL45</t>
  </si>
  <si>
    <t>KA_TAV22</t>
  </si>
  <si>
    <t>KA XBOOM CL87</t>
  </si>
  <si>
    <t>KA_TAV23</t>
  </si>
  <si>
    <t>KA XBOOM CL88</t>
  </si>
  <si>
    <t>KA_TAV24</t>
  </si>
  <si>
    <t>KA XBOOM CL98</t>
  </si>
  <si>
    <t>KA_TAV25</t>
  </si>
  <si>
    <t>Caixa Acústica FJ7</t>
  </si>
  <si>
    <t>KA_TAV26</t>
  </si>
  <si>
    <t>Mini System KA XBOOM CK43</t>
  </si>
  <si>
    <t>KA_TAV27</t>
  </si>
  <si>
    <t>Mini System KA XBOOM CK56</t>
  </si>
  <si>
    <t>KA_TAV28</t>
  </si>
  <si>
    <t>Mini System KA XBOOM CK99</t>
  </si>
  <si>
    <t>KA_TAV29</t>
  </si>
  <si>
    <t>KA XBOOM OK55</t>
  </si>
  <si>
    <t>KA_TAV30</t>
  </si>
  <si>
    <t>KA XBOOM OK75</t>
  </si>
  <si>
    <t>KA_TAV31</t>
  </si>
  <si>
    <t>KA XBOOM OK99</t>
  </si>
  <si>
    <t>KA_TAV32</t>
  </si>
  <si>
    <t>KA XBOOM CJ44</t>
  </si>
  <si>
    <t>KA_TAV33</t>
  </si>
  <si>
    <t>KA XBOOM CJ87</t>
  </si>
  <si>
    <t>KA_TAV34</t>
  </si>
  <si>
    <t>KA XBOOM CJ88</t>
  </si>
  <si>
    <t>KA_TAV35</t>
  </si>
  <si>
    <t>KA Sound Bar SL9YG</t>
  </si>
  <si>
    <t>KA_TAV36</t>
  </si>
  <si>
    <t>KA Sound Bar SL5Y</t>
  </si>
  <si>
    <t>KA_TAV37</t>
  </si>
  <si>
    <t>KA Sound Bar SL6Y</t>
  </si>
  <si>
    <t>KA_TAV38</t>
  </si>
  <si>
    <t>KA Sound Bar SK4D</t>
  </si>
  <si>
    <t>KA_TAV39</t>
  </si>
  <si>
    <t>KA Sound Bar SK6R</t>
  </si>
  <si>
    <t>KA_TAV40</t>
  </si>
  <si>
    <t>KA Sound Bar SK6</t>
  </si>
  <si>
    <t>KA_TAV41</t>
  </si>
  <si>
    <t>KA Sound Bar SK9</t>
  </si>
  <si>
    <t>KA_TAV42</t>
  </si>
  <si>
    <t>KA Sound Bar SJ9</t>
  </si>
  <si>
    <t>KA_TAV43</t>
  </si>
  <si>
    <t>KA Sound Bar SJ5</t>
  </si>
  <si>
    <t>KA_TAV44</t>
  </si>
  <si>
    <t>KA Sound Bar SJ3</t>
  </si>
  <si>
    <t>KA_SMP01</t>
  </si>
  <si>
    <t>KA G8X ThinQ</t>
  </si>
  <si>
    <t>Prata</t>
  </si>
  <si>
    <t>KA_SMP02</t>
  </si>
  <si>
    <t>KA G8S ThinQ</t>
  </si>
  <si>
    <t>KA_SMP03</t>
  </si>
  <si>
    <t>KA G7 ThinQ</t>
  </si>
  <si>
    <t>KA_SMP04</t>
  </si>
  <si>
    <t>KA G6 Astro Black</t>
  </si>
  <si>
    <t>KA_SMP05</t>
  </si>
  <si>
    <t>KA G5 SE Gold</t>
  </si>
  <si>
    <t>KA_SMP06</t>
  </si>
  <si>
    <t>KA G4 Beat H736P</t>
  </si>
  <si>
    <t>KA_SMP07</t>
  </si>
  <si>
    <t>KA G4 H815P</t>
  </si>
  <si>
    <t>KA_SMP08</t>
  </si>
  <si>
    <t>KA G4 Dual Chip H818P</t>
  </si>
  <si>
    <t>KA_SMP09</t>
  </si>
  <si>
    <t>KA G3 Stylus D690</t>
  </si>
  <si>
    <t>KA_SMP10</t>
  </si>
  <si>
    <t>KA G3 Beat D724</t>
  </si>
  <si>
    <t>KA_SMP11</t>
  </si>
  <si>
    <t>KA K50S ThinQ</t>
  </si>
  <si>
    <t>KA_SMP12</t>
  </si>
  <si>
    <t>KA K40S ThinQ</t>
  </si>
  <si>
    <t>KA_SMP13</t>
  </si>
  <si>
    <t>KA K12 Prime</t>
  </si>
  <si>
    <t>KA_SMP14</t>
  </si>
  <si>
    <t>KA K12 Max</t>
  </si>
  <si>
    <t>KA_SMP15</t>
  </si>
  <si>
    <t>KA K11</t>
  </si>
  <si>
    <t>KA_SMP16</t>
  </si>
  <si>
    <t>KA K10</t>
  </si>
  <si>
    <t>KA_SMP17</t>
  </si>
  <si>
    <t>KA K9</t>
  </si>
  <si>
    <t>KA_SMP18</t>
  </si>
  <si>
    <t>KA K4 Chocolate</t>
  </si>
  <si>
    <t>KA_SMP19</t>
  </si>
  <si>
    <t>KA K4 Dourado</t>
  </si>
  <si>
    <t>KA_SMP20</t>
  </si>
  <si>
    <t>KA Q7+</t>
  </si>
  <si>
    <t>KA_SMP21</t>
  </si>
  <si>
    <t>KA V35 ThinQ</t>
  </si>
  <si>
    <t>KA_INF01</t>
  </si>
  <si>
    <t>Notebook KA Ultra Slim 14 HD</t>
  </si>
  <si>
    <t>Bronze</t>
  </si>
  <si>
    <t>KA_INF02</t>
  </si>
  <si>
    <t>KA Gram 15,6 Core i7</t>
  </si>
  <si>
    <t>KA_INF03</t>
  </si>
  <si>
    <t>KA Gram 14 Core i5</t>
  </si>
  <si>
    <t>KA_INF04</t>
  </si>
  <si>
    <t>All in One KA TV 27</t>
  </si>
  <si>
    <t>KA_INF05</t>
  </si>
  <si>
    <t>All in One KA TV 22</t>
  </si>
  <si>
    <t>KA_INF06</t>
  </si>
  <si>
    <t>All in One KA TV 24</t>
  </si>
  <si>
    <t>KA_INF07</t>
  </si>
  <si>
    <t>Monitor Gamer UltraWide KA 34 IPS</t>
  </si>
  <si>
    <t>KA_INF08</t>
  </si>
  <si>
    <t>Monitor Gamer KA 27 IPS</t>
  </si>
  <si>
    <t>KA_INF09</t>
  </si>
  <si>
    <t>Monitor Gamer KA 27 LED</t>
  </si>
  <si>
    <t>KA_INF10</t>
  </si>
  <si>
    <t>Monitor Gamer KA 24 LED</t>
  </si>
  <si>
    <t>KA_INF11</t>
  </si>
  <si>
    <t>Monitor KA UltraFine 27 IPS</t>
  </si>
  <si>
    <t>KA_INF12</t>
  </si>
  <si>
    <t>Monitor KA UltraFine 24 IPS</t>
  </si>
  <si>
    <t>KA_INF13</t>
  </si>
  <si>
    <t>Monitor KA UltraWide 29 IPS</t>
  </si>
  <si>
    <t>KA_INF14</t>
  </si>
  <si>
    <t>Monitor KA 32 UHD 4K</t>
  </si>
  <si>
    <t>KA_INF15</t>
  </si>
  <si>
    <t>Monitor KA 32 UK550 UHD 4K</t>
  </si>
  <si>
    <t>KA_INF16</t>
  </si>
  <si>
    <t>Monitor KA 27 UHD 4K IPS</t>
  </si>
  <si>
    <t>KA_INF17</t>
  </si>
  <si>
    <t>Monitor KA 27 UHD 4K IPS HDR</t>
  </si>
  <si>
    <t>KA_INF18</t>
  </si>
  <si>
    <t>Monitor KA 24 LED IPS Full HD</t>
  </si>
  <si>
    <t>KA_INF19</t>
  </si>
  <si>
    <t>Monitor KA 22 LED Full HD</t>
  </si>
  <si>
    <t>Total Geral</t>
  </si>
  <si>
    <t>Bronze Total</t>
  </si>
  <si>
    <t>Ouro Total</t>
  </si>
  <si>
    <t>Prata Total</t>
  </si>
  <si>
    <t>FATURAMENTO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</si>
</sst>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%"/>
    <numFmt numFmtId="165" formatCode="&quot;R$ &quot;#,##0_);[Red]\(&quot;R$ &quot;#,##0\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lightDown">
        <fgColor theme="0" tint="-0.149967955565050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9F8F5"/>
        <bgColor indexed="64"/>
      </patternFill>
    </fill>
    <fill>
      <patternFill patternType="solid">
        <fgColor rgb="FF007DAF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8" fillId="0" borderId="0"/>
  </cellStyleXfs>
  <cellXfs count="101">
    <xf numFmtId="0" fontId="0" fillId="0" borderId="0" xfId="0"/>
    <xf numFmtId="0" fontId="4" fillId="0" borderId="2" xfId="0" applyFont="1" applyBorder="1" applyAlignment="1">
      <alignment vertical="center"/>
    </xf>
    <xf numFmtId="0" fontId="0" fillId="0" borderId="2" xfId="0" applyBorder="1"/>
    <xf numFmtId="43" fontId="0" fillId="0" borderId="2" xfId="0" applyNumberFormat="1" applyBorder="1"/>
    <xf numFmtId="164" fontId="2" fillId="0" borderId="2" xfId="2" applyNumberFormat="1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/>
    </xf>
    <xf numFmtId="0" fontId="2" fillId="0" borderId="2" xfId="0" applyFont="1" applyBorder="1"/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43" fontId="6" fillId="0" borderId="0" xfId="1" applyFont="1"/>
    <xf numFmtId="43" fontId="0" fillId="0" borderId="0" xfId="0" applyNumberFormat="1"/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/>
    <xf numFmtId="0" fontId="7" fillId="0" borderId="2" xfId="0" applyFont="1" applyBorder="1"/>
    <xf numFmtId="0" fontId="8" fillId="0" borderId="2" xfId="0" applyFont="1" applyBorder="1"/>
    <xf numFmtId="0" fontId="6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/>
    </xf>
    <xf numFmtId="43" fontId="5" fillId="0" borderId="3" xfId="1" applyFont="1" applyBorder="1"/>
    <xf numFmtId="43" fontId="6" fillId="2" borderId="3" xfId="1" applyFont="1" applyFill="1" applyBorder="1"/>
    <xf numFmtId="0" fontId="6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2" fontId="5" fillId="0" borderId="3" xfId="1" applyNumberFormat="1" applyFont="1" applyBorder="1" applyAlignment="1">
      <alignment horizontal="center"/>
    </xf>
    <xf numFmtId="0" fontId="0" fillId="0" borderId="0" xfId="0" quotePrefix="1"/>
    <xf numFmtId="0" fontId="6" fillId="0" borderId="2" xfId="0" applyFont="1" applyBorder="1" applyAlignment="1">
      <alignment horizontal="center"/>
    </xf>
    <xf numFmtId="43" fontId="6" fillId="0" borderId="2" xfId="1" applyFont="1" applyBorder="1"/>
    <xf numFmtId="0" fontId="5" fillId="0" borderId="0" xfId="0" applyFont="1" applyAlignment="1">
      <alignment horizontal="center" vertical="center"/>
    </xf>
    <xf numFmtId="43" fontId="5" fillId="0" borderId="0" xfId="0" applyNumberFormat="1" applyFont="1"/>
    <xf numFmtId="0" fontId="8" fillId="0" borderId="0" xfId="0" applyFont="1"/>
    <xf numFmtId="0" fontId="1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4" borderId="6" xfId="0" applyFont="1" applyFill="1" applyBorder="1" applyAlignment="1">
      <alignment vertical="center"/>
    </xf>
    <xf numFmtId="3" fontId="6" fillId="4" borderId="7" xfId="0" applyNumberFormat="1" applyFont="1" applyFill="1" applyBorder="1" applyAlignment="1">
      <alignment vertical="center"/>
    </xf>
    <xf numFmtId="3" fontId="6" fillId="4" borderId="6" xfId="0" applyNumberFormat="1" applyFont="1" applyFill="1" applyBorder="1" applyAlignment="1">
      <alignment vertical="center"/>
    </xf>
    <xf numFmtId="0" fontId="6" fillId="4" borderId="6" xfId="0" applyFont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3" fontId="6" fillId="4" borderId="11" xfId="0" applyNumberFormat="1" applyFont="1" applyFill="1" applyBorder="1" applyAlignment="1">
      <alignment vertical="center"/>
    </xf>
    <xf numFmtId="3" fontId="6" fillId="4" borderId="10" xfId="0" applyNumberFormat="1" applyFont="1" applyFill="1" applyBorder="1" applyAlignment="1">
      <alignment vertical="center"/>
    </xf>
    <xf numFmtId="0" fontId="6" fillId="4" borderId="10" xfId="0" applyFont="1" applyFill="1" applyBorder="1" applyAlignment="1">
      <alignment vertical="center"/>
    </xf>
    <xf numFmtId="0" fontId="8" fillId="4" borderId="13" xfId="0" applyFont="1" applyFill="1" applyBorder="1" applyAlignment="1">
      <alignment vertical="center"/>
    </xf>
    <xf numFmtId="9" fontId="14" fillId="4" borderId="14" xfId="2" applyFont="1" applyFill="1" applyBorder="1" applyAlignment="1">
      <alignment horizontal="center" vertical="center"/>
    </xf>
    <xf numFmtId="9" fontId="14" fillId="4" borderId="13" xfId="0" applyNumberFormat="1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vertical="center"/>
    </xf>
    <xf numFmtId="0" fontId="3" fillId="0" borderId="0" xfId="0" applyFont="1"/>
    <xf numFmtId="0" fontId="15" fillId="0" borderId="0" xfId="0" applyFont="1" applyAlignment="1">
      <alignment horizontal="center"/>
    </xf>
    <xf numFmtId="16" fontId="5" fillId="0" borderId="2" xfId="0" applyNumberFormat="1" applyFont="1" applyBorder="1" applyAlignment="1">
      <alignment horizontal="center"/>
    </xf>
    <xf numFmtId="3" fontId="6" fillId="0" borderId="0" xfId="0" applyNumberFormat="1" applyFont="1"/>
    <xf numFmtId="9" fontId="6" fillId="0" borderId="0" xfId="0" applyNumberFormat="1" applyFont="1" applyAlignment="1">
      <alignment horizontal="center"/>
    </xf>
    <xf numFmtId="9" fontId="6" fillId="0" borderId="0" xfId="2" applyFont="1"/>
    <xf numFmtId="164" fontId="6" fillId="0" borderId="0" xfId="2" applyNumberFormat="1" applyFont="1"/>
    <xf numFmtId="0" fontId="5" fillId="0" borderId="0" xfId="0" applyFont="1"/>
    <xf numFmtId="3" fontId="13" fillId="0" borderId="0" xfId="3" applyNumberFormat="1" applyFont="1" applyAlignment="1">
      <alignment horizontal="right"/>
    </xf>
    <xf numFmtId="9" fontId="13" fillId="0" borderId="0" xfId="3" applyNumberFormat="1" applyFont="1" applyAlignment="1">
      <alignment horizontal="center"/>
    </xf>
    <xf numFmtId="9" fontId="6" fillId="0" borderId="0" xfId="0" applyNumberFormat="1" applyFont="1"/>
    <xf numFmtId="2" fontId="6" fillId="0" borderId="0" xfId="0" applyNumberFormat="1" applyFont="1"/>
    <xf numFmtId="0" fontId="10" fillId="0" borderId="4" xfId="4" applyFont="1" applyBorder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8" fillId="0" borderId="0" xfId="0" applyFont="1" applyAlignment="1">
      <alignment horizontal="center"/>
    </xf>
    <xf numFmtId="43" fontId="8" fillId="0" borderId="0" xfId="1" applyFont="1"/>
    <xf numFmtId="14" fontId="8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3" fontId="8" fillId="0" borderId="0" xfId="1" applyFont="1" applyFill="1" applyBorder="1"/>
    <xf numFmtId="14" fontId="8" fillId="0" borderId="0" xfId="0" applyNumberFormat="1" applyFont="1"/>
    <xf numFmtId="0" fontId="3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43" fontId="8" fillId="0" borderId="2" xfId="1" applyFont="1" applyFill="1" applyBorder="1"/>
    <xf numFmtId="14" fontId="8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4" fontId="8" fillId="0" borderId="0" xfId="0" applyNumberFormat="1" applyFont="1"/>
    <xf numFmtId="0" fontId="6" fillId="0" borderId="4" xfId="0" applyFont="1" applyBorder="1"/>
    <xf numFmtId="40" fontId="6" fillId="0" borderId="0" xfId="0" applyNumberFormat="1" applyFont="1"/>
    <xf numFmtId="0" fontId="18" fillId="0" borderId="2" xfId="0" applyFont="1" applyBorder="1" applyAlignment="1">
      <alignment horizontal="center" vertical="center"/>
    </xf>
    <xf numFmtId="0" fontId="19" fillId="0" borderId="0" xfId="0" applyFont="1"/>
    <xf numFmtId="3" fontId="19" fillId="0" borderId="0" xfId="0" applyNumberFormat="1" applyFont="1"/>
    <xf numFmtId="40" fontId="6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3" fillId="0" borderId="15" xfId="0" applyFont="1" applyBorder="1" applyAlignment="1">
      <alignment horizontal="center" vertical="center"/>
    </xf>
    <xf numFmtId="3" fontId="0" fillId="0" borderId="0" xfId="0" applyNumberFormat="1"/>
    <xf numFmtId="164" fontId="0" fillId="0" borderId="0" xfId="0" applyNumberFormat="1"/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164" fontId="14" fillId="4" borderId="8" xfId="2" quotePrefix="1" applyNumberFormat="1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5">
    <cellStyle name="Normal" xfId="0" builtinId="0"/>
    <cellStyle name="Normal 2" xfId="3"/>
    <cellStyle name="Normal 3" xfId="4"/>
    <cellStyle name="Porcentagem" xfId="2" builtinId="5"/>
    <cellStyle name="Vírgula" xfId="1" builtinId="3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7D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'À Fazer Q7'!$B$2</c:f>
          <c:strCache>
            <c:ptCount val="1"/>
            <c:pt idx="0">
              <c:v>Negócios | Projetado x Real</c:v>
            </c:pt>
          </c:strCache>
        </c:strRef>
      </c:tx>
      <c:layout>
        <c:manualLayout>
          <c:xMode val="edge"/>
          <c:yMode val="edge"/>
          <c:x val="0.3354512248468941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'À Fazer Q7'!$C$4</c:f>
              <c:strCache>
                <c:ptCount val="1"/>
                <c:pt idx="0">
                  <c:v>Projetado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'À Fazer Q7'!$B$5:$B$16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'À Fazer Q7'!$C$5:$C$16</c:f>
              <c:numCache>
                <c:formatCode>#,##0</c:formatCode>
                <c:ptCount val="12"/>
                <c:pt idx="0">
                  <c:v>300000</c:v>
                </c:pt>
                <c:pt idx="1">
                  <c:v>315000</c:v>
                </c:pt>
                <c:pt idx="2">
                  <c:v>330750</c:v>
                </c:pt>
                <c:pt idx="3">
                  <c:v>347287.5</c:v>
                </c:pt>
                <c:pt idx="4">
                  <c:v>364651.875</c:v>
                </c:pt>
                <c:pt idx="5">
                  <c:v>382884.46875</c:v>
                </c:pt>
                <c:pt idx="6">
                  <c:v>402028.69218750001</c:v>
                </c:pt>
                <c:pt idx="7">
                  <c:v>422130.12679687503</c:v>
                </c:pt>
                <c:pt idx="8">
                  <c:v>443236.63313671882</c:v>
                </c:pt>
                <c:pt idx="9">
                  <c:v>465398.4647935548</c:v>
                </c:pt>
                <c:pt idx="10">
                  <c:v>488668.38803323254</c:v>
                </c:pt>
                <c:pt idx="11">
                  <c:v>513101.8074348942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743760"/>
        <c:axId val="353745328"/>
      </c:barChart>
      <c:lineChart>
        <c:grouping val="standard"/>
        <c:varyColors val="0"/>
        <c:ser>
          <c:idx val="1"/>
          <c:order val="1"/>
          <c:tx>
            <c:strRef>
              <c:f>'À Fazer Q7'!$D$4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'À Fazer Q7'!$B$5:$B$16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'À Fazer Q7'!$D$5:$D$16</c:f>
              <c:numCache>
                <c:formatCode>#,##0</c:formatCode>
                <c:ptCount val="12"/>
                <c:pt idx="0">
                  <c:v>287545</c:v>
                </c:pt>
                <c:pt idx="1">
                  <c:v>268345</c:v>
                </c:pt>
                <c:pt idx="2">
                  <c:v>308334</c:v>
                </c:pt>
                <c:pt idx="3">
                  <c:v>319202</c:v>
                </c:pt>
                <c:pt idx="4">
                  <c:v>394983</c:v>
                </c:pt>
                <c:pt idx="5">
                  <c:v>325832</c:v>
                </c:pt>
                <c:pt idx="6">
                  <c:v>345932</c:v>
                </c:pt>
                <c:pt idx="7">
                  <c:v>456933</c:v>
                </c:pt>
                <c:pt idx="8">
                  <c:v>440250</c:v>
                </c:pt>
                <c:pt idx="9">
                  <c:v>500100</c:v>
                </c:pt>
                <c:pt idx="10">
                  <c:v>480355</c:v>
                </c:pt>
                <c:pt idx="11">
                  <c:v>520030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43760"/>
        <c:axId val="353745328"/>
      </c:lineChart>
      <c:catAx>
        <c:axId val="35374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45328"/>
        <c:crosses val="autoZero"/>
        <c:auto val="1"/>
        <c:lblAlgn val="ctr"/>
        <c:lblOffset val="100"/>
        <c:noMultiLvlLbl val="0"/>
      </c:catAx>
      <c:valAx>
        <c:axId val="3537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4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'À Fazer Q7'!$G$4:$H$4</c:f>
          <c:strCache>
            <c:ptCount val="2"/>
            <c:pt idx="0">
              <c:v>Avaliação Suporte Web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'À Fazer Q7'!$G$4:$G$9</c:f>
              <c:strCache>
                <c:ptCount val="6"/>
                <c:pt idx="0">
                  <c:v>Avaliação Suporte Web</c:v>
                </c:pt>
                <c:pt idx="1">
                  <c:v>Excelente</c:v>
                </c:pt>
                <c:pt idx="2">
                  <c:v>Bom</c:v>
                </c:pt>
                <c:pt idx="3">
                  <c:v>Médio</c:v>
                </c:pt>
                <c:pt idx="4">
                  <c:v>Ruim</c:v>
                </c:pt>
                <c:pt idx="5">
                  <c:v>Insatisfatório</c:v>
                </c:pt>
              </c:strCache>
            </c:strRef>
          </c:cat>
          <c:val>
            <c:numRef>
              <c:f>'À Fazer Q7'!$H$4:$H$9</c:f>
              <c:numCache>
                <c:formatCode>0.0%</c:formatCode>
                <c:ptCount val="6"/>
                <c:pt idx="1">
                  <c:v>0.26300000000000001</c:v>
                </c:pt>
                <c:pt idx="2">
                  <c:v>0.41499999999999998</c:v>
                </c:pt>
                <c:pt idx="3">
                  <c:v>0.24399999999999999</c:v>
                </c:pt>
                <c:pt idx="4">
                  <c:v>4.8000000000000001E-2</c:v>
                </c:pt>
                <c:pt idx="5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9556344"/>
        <c:axId val="353749640"/>
        <c:axId val="0"/>
      </c:bar3DChart>
      <c:catAx>
        <c:axId val="249556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49640"/>
        <c:crosses val="autoZero"/>
        <c:auto val="1"/>
        <c:lblAlgn val="ctr"/>
        <c:lblOffset val="100"/>
        <c:noMultiLvlLbl val="0"/>
      </c:catAx>
      <c:valAx>
        <c:axId val="35374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55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[Webinar_Excel_Vazio_bruno_edit.xlsm]Q8!Tabela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'Q8'!$C$6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'Q8'!$B$7:$B$31</c:f>
              <c:multiLvlStrCache>
                <c:ptCount val="15"/>
                <c:lvl>
                  <c:pt idx="0">
                    <c:v>Monitor KA 27 UHD 4K IPS HDR</c:v>
                  </c:pt>
                  <c:pt idx="1">
                    <c:v>Monitor KA 22 LED Full HD</c:v>
                  </c:pt>
                  <c:pt idx="2">
                    <c:v>Monitor KA 27 UHD 4K IPS</c:v>
                  </c:pt>
                  <c:pt idx="3">
                    <c:v>All in One KA TV 22</c:v>
                  </c:pt>
                  <c:pt idx="4">
                    <c:v>KA Gram 14 Core i5</c:v>
                  </c:pt>
                  <c:pt idx="5">
                    <c:v>KA Sound Bar SK4D</c:v>
                  </c:pt>
                  <c:pt idx="6">
                    <c:v>KA Sound Bar SL9YG</c:v>
                  </c:pt>
                  <c:pt idx="7">
                    <c:v>KA XBOOM CJ88</c:v>
                  </c:pt>
                  <c:pt idx="8">
                    <c:v>KA XBOOM CJ87</c:v>
                  </c:pt>
                  <c:pt idx="9">
                    <c:v>KA XBOOM CL87</c:v>
                  </c:pt>
                  <c:pt idx="10">
                    <c:v>KA K9</c:v>
                  </c:pt>
                  <c:pt idx="11">
                    <c:v>KA V35 ThinQ</c:v>
                  </c:pt>
                  <c:pt idx="12">
                    <c:v>KA K4 Dourado</c:v>
                  </c:pt>
                  <c:pt idx="13">
                    <c:v>KA G7 ThinQ</c:v>
                  </c:pt>
                  <c:pt idx="14">
                    <c:v>KA Q7+</c:v>
                  </c:pt>
                </c:lvl>
                <c:lvl>
                  <c:pt idx="0">
                    <c:v>Bronze</c:v>
                  </c:pt>
                  <c:pt idx="5">
                    <c:v>Ouro</c:v>
                  </c:pt>
                  <c:pt idx="10">
                    <c:v>Prata</c:v>
                  </c:pt>
                </c:lvl>
              </c:multiLvlStrCache>
            </c:multiLvlStrRef>
          </c:cat>
          <c:val>
            <c:numRef>
              <c:f>'Q8'!$C$7:$C$31</c:f>
              <c:numCache>
                <c:formatCode>#,##0</c:formatCode>
                <c:ptCount val="15"/>
                <c:pt idx="0">
                  <c:v>378900</c:v>
                </c:pt>
                <c:pt idx="1">
                  <c:v>371800</c:v>
                </c:pt>
                <c:pt idx="2">
                  <c:v>357800</c:v>
                </c:pt>
                <c:pt idx="3">
                  <c:v>297200</c:v>
                </c:pt>
                <c:pt idx="4">
                  <c:v>270100</c:v>
                </c:pt>
                <c:pt idx="5">
                  <c:v>499500</c:v>
                </c:pt>
                <c:pt idx="6">
                  <c:v>493500</c:v>
                </c:pt>
                <c:pt idx="7">
                  <c:v>493050</c:v>
                </c:pt>
                <c:pt idx="8">
                  <c:v>492600</c:v>
                </c:pt>
                <c:pt idx="9">
                  <c:v>492400</c:v>
                </c:pt>
                <c:pt idx="10">
                  <c:v>269500</c:v>
                </c:pt>
                <c:pt idx="11">
                  <c:v>252000</c:v>
                </c:pt>
                <c:pt idx="12">
                  <c:v>227600</c:v>
                </c:pt>
                <c:pt idx="13">
                  <c:v>195500</c:v>
                </c:pt>
                <c:pt idx="14">
                  <c:v>195300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7606752"/>
        <c:axId val="347601656"/>
      </c:barChart>
      <c:catAx>
        <c:axId val="34760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601656"/>
        <c:crosses val="autoZero"/>
        <c:auto val="1"/>
        <c:lblAlgn val="ctr"/>
        <c:lblOffset val="100"/>
        <c:noMultiLvlLbl val="0"/>
      </c:catAx>
      <c:valAx>
        <c:axId val="34760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60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0</xdr:row>
      <xdr:rowOff>47625</xdr:rowOff>
    </xdr:from>
    <xdr:to>
      <xdr:col>19</xdr:col>
      <xdr:colOff>314555</xdr:colOff>
      <xdr:row>3</xdr:row>
      <xdr:rowOff>140647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7625"/>
          <a:ext cx="11449280" cy="664522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0</xdr:row>
      <xdr:rowOff>28575</xdr:rowOff>
    </xdr:from>
    <xdr:to>
      <xdr:col>17</xdr:col>
      <xdr:colOff>514580</xdr:colOff>
      <xdr:row>1</xdr:row>
      <xdr:rowOff>207322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19050</xdr:rowOff>
    </xdr:from>
    <xdr:to>
      <xdr:col>16</xdr:col>
      <xdr:colOff>333605</xdr:colOff>
      <xdr:row>1</xdr:row>
      <xdr:rowOff>131122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1449280" cy="6645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18</xdr:col>
      <xdr:colOff>238355</xdr:colOff>
      <xdr:row>1</xdr:row>
      <xdr:rowOff>197797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18</xdr:col>
      <xdr:colOff>247880</xdr:colOff>
      <xdr:row>1</xdr:row>
      <xdr:rowOff>159697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18</xdr:col>
      <xdr:colOff>514580</xdr:colOff>
      <xdr:row>1</xdr:row>
      <xdr:rowOff>131122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15</xdr:col>
      <xdr:colOff>409805</xdr:colOff>
      <xdr:row>1</xdr:row>
      <xdr:rowOff>150172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19050</xdr:rowOff>
    </xdr:from>
    <xdr:to>
      <xdr:col>19</xdr:col>
      <xdr:colOff>324080</xdr:colOff>
      <xdr:row>3</xdr:row>
      <xdr:rowOff>112072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1449280" cy="664522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4</xdr:row>
      <xdr:rowOff>38100</xdr:rowOff>
    </xdr:from>
    <xdr:to>
      <xdr:col>9</xdr:col>
      <xdr:colOff>993825</xdr:colOff>
      <xdr:row>4</xdr:row>
      <xdr:rowOff>146100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800100"/>
          <a:ext cx="108000" cy="1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5</xdr:row>
      <xdr:rowOff>42863</xdr:rowOff>
    </xdr:from>
    <xdr:to>
      <xdr:col>9</xdr:col>
      <xdr:colOff>993825</xdr:colOff>
      <xdr:row>5</xdr:row>
      <xdr:rowOff>150863</xdr:rowOff>
    </xdr:to>
    <xdr:pic>
      <xdr:nvPicPr>
        <xdr:cNvPr id="8" name="Imagem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0" y="995363"/>
          <a:ext cx="108000" cy="1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6</xdr:row>
      <xdr:rowOff>47625</xdr:rowOff>
    </xdr:from>
    <xdr:to>
      <xdr:col>9</xdr:col>
      <xdr:colOff>993825</xdr:colOff>
      <xdr:row>6</xdr:row>
      <xdr:rowOff>155625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0" y="1190625"/>
          <a:ext cx="108000" cy="108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18</xdr:col>
      <xdr:colOff>295505</xdr:colOff>
      <xdr:row>0</xdr:row>
      <xdr:rowOff>702622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11449280" cy="66452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2</xdr:row>
      <xdr:rowOff>85725</xdr:rowOff>
    </xdr:from>
    <xdr:to>
      <xdr:col>19</xdr:col>
      <xdr:colOff>57150</xdr:colOff>
      <xdr:row>15</xdr:row>
      <xdr:rowOff>171451</xdr:rowOff>
    </xdr:to>
    <xdr:sp macro="" textlink="">
      <xdr:nvSpPr>
        <xdr:cNvPr id="2" name="Retângulo Arredondad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2371725" y="1000125"/>
          <a:ext cx="9267825" cy="2562226"/>
        </a:xfrm>
        <a:prstGeom prst="roundRect">
          <a:avLst/>
        </a:prstGeom>
        <a:noFill/>
        <a:ln w="3175">
          <a:solidFill>
            <a:srgbClr val="007DA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171451</xdr:colOff>
      <xdr:row>2</xdr:row>
      <xdr:rowOff>47625</xdr:rowOff>
    </xdr:from>
    <xdr:to>
      <xdr:col>10</xdr:col>
      <xdr:colOff>514351</xdr:colOff>
      <xdr:row>4</xdr:row>
      <xdr:rowOff>104775</xdr:rowOff>
    </xdr:to>
    <xdr:sp macro="" textlink="">
      <xdr:nvSpPr>
        <xdr:cNvPr id="3" name="Retângulo Arredondad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4438651" y="962025"/>
          <a:ext cx="2171700" cy="438150"/>
        </a:xfrm>
        <a:prstGeom prst="roundRect">
          <a:avLst/>
        </a:prstGeom>
        <a:solidFill>
          <a:srgbClr val="007DA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Visão Gráfica Geral | Ano Atual</a:t>
          </a:r>
        </a:p>
      </xdr:txBody>
    </xdr:sp>
    <xdr:clientData/>
  </xdr:twoCellAnchor>
  <xdr:twoCellAnchor editAs="oneCell">
    <xdr:from>
      <xdr:col>0</xdr:col>
      <xdr:colOff>47625</xdr:colOff>
      <xdr:row>0</xdr:row>
      <xdr:rowOff>38100</xdr:rowOff>
    </xdr:from>
    <xdr:to>
      <xdr:col>18</xdr:col>
      <xdr:colOff>524105</xdr:colOff>
      <xdr:row>0</xdr:row>
      <xdr:rowOff>702622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38100"/>
          <a:ext cx="11449280" cy="664522"/>
        </a:xfrm>
        <a:prstGeom prst="rect">
          <a:avLst/>
        </a:prstGeom>
      </xdr:spPr>
    </xdr:pic>
    <xdr:clientData/>
  </xdr:twoCellAnchor>
  <xdr:twoCellAnchor>
    <xdr:from>
      <xdr:col>4</xdr:col>
      <xdr:colOff>200024</xdr:colOff>
      <xdr:row>5</xdr:row>
      <xdr:rowOff>9525</xdr:rowOff>
    </xdr:from>
    <xdr:to>
      <xdr:col>9</xdr:col>
      <xdr:colOff>571499</xdr:colOff>
      <xdr:row>13</xdr:row>
      <xdr:rowOff>105525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114300</xdr:colOff>
      <xdr:row>4</xdr:row>
      <xdr:rowOff>152400</xdr:rowOff>
    </xdr:from>
    <xdr:to>
      <xdr:col>18</xdr:col>
      <xdr:colOff>295275</xdr:colOff>
      <xdr:row>15</xdr:row>
      <xdr:rowOff>61912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16</xdr:col>
      <xdr:colOff>9755</xdr:colOff>
      <xdr:row>3</xdr:row>
      <xdr:rowOff>121597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1449280" cy="664522"/>
        </a:xfrm>
        <a:prstGeom prst="rect">
          <a:avLst/>
        </a:prstGeom>
      </xdr:spPr>
    </xdr:pic>
    <xdr:clientData/>
  </xdr:twoCellAnchor>
  <xdr:twoCellAnchor editAs="absolute">
    <xdr:from>
      <xdr:col>7</xdr:col>
      <xdr:colOff>495300</xdr:colOff>
      <xdr:row>0</xdr:row>
      <xdr:rowOff>180977</xdr:rowOff>
    </xdr:from>
    <xdr:to>
      <xdr:col>10</xdr:col>
      <xdr:colOff>286500</xdr:colOff>
      <xdr:row>3</xdr:row>
      <xdr:rowOff>41477</xdr:rowOff>
    </xdr:to>
    <xdr:pic macro="[0]!CINCO_MAIORES_VENDAS"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86525" y="180977"/>
          <a:ext cx="1620000" cy="432000"/>
        </a:xfrm>
        <a:prstGeom prst="rect">
          <a:avLst/>
        </a:prstGeom>
      </xdr:spPr>
    </xdr:pic>
    <xdr:clientData/>
  </xdr:twoCellAnchor>
  <xdr:twoCellAnchor editAs="absolute">
    <xdr:from>
      <xdr:col>13</xdr:col>
      <xdr:colOff>133350</xdr:colOff>
      <xdr:row>1</xdr:row>
      <xdr:rowOff>2</xdr:rowOff>
    </xdr:from>
    <xdr:to>
      <xdr:col>15</xdr:col>
      <xdr:colOff>534150</xdr:colOff>
      <xdr:row>3</xdr:row>
      <xdr:rowOff>51002</xdr:rowOff>
    </xdr:to>
    <xdr:pic macro="[0]!EXIBE_VENDAS"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2175" y="190502"/>
          <a:ext cx="1620000" cy="432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261937</xdr:colOff>
      <xdr:row>1</xdr:row>
      <xdr:rowOff>2</xdr:rowOff>
    </xdr:from>
    <xdr:to>
      <xdr:col>13</xdr:col>
      <xdr:colOff>53137</xdr:colOff>
      <xdr:row>3</xdr:row>
      <xdr:rowOff>51002</xdr:rowOff>
    </xdr:to>
    <xdr:pic macro="[0]!CINCO_MENORES_VENDAS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81962" y="190502"/>
          <a:ext cx="1620000" cy="432000"/>
        </a:xfrm>
        <a:prstGeom prst="rect">
          <a:avLst/>
        </a:prstGeom>
      </xdr:spPr>
    </xdr:pic>
    <xdr:clientData/>
  </xdr:twoCellAnchor>
  <xdr:twoCellAnchor>
    <xdr:from>
      <xdr:col>6</xdr:col>
      <xdr:colOff>581025</xdr:colOff>
      <xdr:row>20</xdr:row>
      <xdr:rowOff>100012</xdr:rowOff>
    </xdr:from>
    <xdr:to>
      <xdr:col>14</xdr:col>
      <xdr:colOff>276225</xdr:colOff>
      <xdr:row>34</xdr:row>
      <xdr:rowOff>176212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uno" refreshedDate="44574.883011805556" createdVersion="5" refreshedVersion="5" minRefreshableVersion="3" recordCount="84">
  <cacheSource type="worksheet">
    <worksheetSource name="TBL_DADOS"/>
  </cacheSource>
  <cacheFields count="4">
    <cacheField name="Código" numFmtId="0">
      <sharedItems/>
    </cacheField>
    <cacheField name="Produto" numFmtId="0">
      <sharedItems count="84">
        <s v="Smart TV OLED KA 65"/>
        <s v="Smart TV NanoCell KA 86"/>
        <s v="Smart TV KA 65"/>
        <s v="Smart TV KA 49"/>
        <s v="Smart TV NanoCell Display KA 65"/>
        <s v="Smart TV NanoCell Display KA 75"/>
        <s v="Smart TV KA 75 4K HDR"/>
        <s v="Smart TV KA 65 4K HDR"/>
        <s v="Smart TV KA 82 4K HDR"/>
        <s v="Smart TV KA 50 4K HDR"/>
        <s v="Smart TV KA 70 4K HDR"/>
        <s v="Smart TV KA 60 4K HDR"/>
        <s v="Smart TV OLED KA 77"/>
        <s v="Smart TV KA 32 HDR Ativo"/>
        <s v="Smart TV KA 43 Full HD HDR Ativo"/>
        <s v="KA Game Full 43 HD TV"/>
        <s v="KA Game Full 49 HD TV"/>
        <s v="KA Game Full 55 HD TV"/>
        <s v="TV Tela Curva 79 KA Ultra HD"/>
        <s v="KA XBOOM CL65"/>
        <s v="Mini System KA XBOOM OL45"/>
        <s v="KA XBOOM CL87"/>
        <s v="KA XBOOM CL88"/>
        <s v="KA XBOOM CL98"/>
        <s v="Caixa Acústica FJ7"/>
        <s v="Mini System KA XBOOM CK43"/>
        <s v="Mini System KA XBOOM CK56"/>
        <s v="Mini System KA XBOOM CK99"/>
        <s v="KA XBOOM OK55"/>
        <s v="KA XBOOM OK75"/>
        <s v="KA XBOOM OK99"/>
        <s v="KA XBOOM CJ44"/>
        <s v="KA XBOOM CJ87"/>
        <s v="KA XBOOM CJ88"/>
        <s v="KA Sound Bar SL9YG"/>
        <s v="KA Sound Bar SL5Y"/>
        <s v="KA Sound Bar SL6Y"/>
        <s v="KA Sound Bar SK4D"/>
        <s v="KA Sound Bar SK6R"/>
        <s v="KA Sound Bar SK6"/>
        <s v="KA Sound Bar SK9"/>
        <s v="KA Sound Bar SJ9"/>
        <s v="KA Sound Bar SJ5"/>
        <s v="KA Sound Bar SJ3"/>
        <s v="KA G8X ThinQ"/>
        <s v="KA G8S ThinQ"/>
        <s v="KA G7 ThinQ"/>
        <s v="KA G6 Astro Black"/>
        <s v="KA G5 SE Gold"/>
        <s v="KA G4 Beat H736P"/>
        <s v="KA G4 H815P"/>
        <s v="KA G4 Dual Chip H818P"/>
        <s v="KA G3 Stylus D690"/>
        <s v="KA G3 Beat D724"/>
        <s v="KA K50S ThinQ"/>
        <s v="KA K40S ThinQ"/>
        <s v="KA K12 Prime"/>
        <s v="KA K12 Max"/>
        <s v="KA K11"/>
        <s v="KA K10"/>
        <s v="KA K9"/>
        <s v="KA K4 Chocolate"/>
        <s v="KA K4 Dourado"/>
        <s v="KA Q7+"/>
        <s v="KA V35 ThinQ"/>
        <s v="Notebook KA Ultra Slim 14 HD"/>
        <s v="KA Gram 15,6 Core i7"/>
        <s v="KA Gram 14 Core i5"/>
        <s v="All in One KA TV 27"/>
        <s v="All in One KA TV 22"/>
        <s v="All in One KA TV 24"/>
        <s v="Monitor Gamer UltraWide KA 34 IPS"/>
        <s v="Monitor Gamer KA 27 IPS"/>
        <s v="Monitor Gamer KA 27 LED"/>
        <s v="Monitor Gamer KA 24 LED"/>
        <s v="Monitor KA UltraFine 27 IPS"/>
        <s v="Monitor KA UltraFine 24 IPS"/>
        <s v="Monitor KA UltraWide 29 IPS"/>
        <s v="Monitor KA 32 UHD 4K"/>
        <s v="Monitor KA 32 UK550 UHD 4K"/>
        <s v="Monitor KA 27 UHD 4K IPS"/>
        <s v="Monitor KA 27 UHD 4K IPS HDR"/>
        <s v="Monitor KA 24 LED IPS Full HD"/>
        <s v="Monitor KA 22 LED Full HD"/>
      </sharedItems>
    </cacheField>
    <cacheField name="Linha" numFmtId="0">
      <sharedItems count="3">
        <s v="Ouro"/>
        <s v="Prata"/>
        <s v="Bronze"/>
      </sharedItems>
    </cacheField>
    <cacheField name="Vendas" numFmtId="3">
      <sharedItems containsSemiMixedTypes="0" containsString="0" containsNumber="1" containsInteger="1" minValue="111500" maxValue="499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">
  <r>
    <s v="KA_TAV01"/>
    <x v="0"/>
    <x v="0"/>
    <n v="378700"/>
  </r>
  <r>
    <s v="KA_TAV02"/>
    <x v="1"/>
    <x v="0"/>
    <n v="331000"/>
  </r>
  <r>
    <s v="KA_TAV03"/>
    <x v="2"/>
    <x v="0"/>
    <n v="376900"/>
  </r>
  <r>
    <s v="KA_TAV04"/>
    <x v="3"/>
    <x v="0"/>
    <n v="217500"/>
  </r>
  <r>
    <s v="KA_TAV05"/>
    <x v="4"/>
    <x v="0"/>
    <n v="309200"/>
  </r>
  <r>
    <s v="KA_TAV06"/>
    <x v="5"/>
    <x v="0"/>
    <n v="317700"/>
  </r>
  <r>
    <s v="KA_TAV07"/>
    <x v="6"/>
    <x v="0"/>
    <n v="237200"/>
  </r>
  <r>
    <s v="KA_TAV08"/>
    <x v="7"/>
    <x v="0"/>
    <n v="203000"/>
  </r>
  <r>
    <s v="KA_TAV09"/>
    <x v="8"/>
    <x v="0"/>
    <n v="342900"/>
  </r>
  <r>
    <s v="KA_TAV10"/>
    <x v="9"/>
    <x v="0"/>
    <n v="394700"/>
  </r>
  <r>
    <s v="KA_TAV11"/>
    <x v="10"/>
    <x v="0"/>
    <n v="270200"/>
  </r>
  <r>
    <s v="KA_TAV12"/>
    <x v="11"/>
    <x v="0"/>
    <n v="380200"/>
  </r>
  <r>
    <s v="KA_TAV13"/>
    <x v="12"/>
    <x v="0"/>
    <n v="398500"/>
  </r>
  <r>
    <s v="KA_TAV14"/>
    <x v="13"/>
    <x v="0"/>
    <n v="242400"/>
  </r>
  <r>
    <s v="KA_TAV15"/>
    <x v="14"/>
    <x v="0"/>
    <n v="284800"/>
  </r>
  <r>
    <s v="KA_TAV16"/>
    <x v="15"/>
    <x v="0"/>
    <n v="228200"/>
  </r>
  <r>
    <s v="KA_TAV17"/>
    <x v="16"/>
    <x v="0"/>
    <n v="361500"/>
  </r>
  <r>
    <s v="KA_TAV18"/>
    <x v="17"/>
    <x v="0"/>
    <n v="273600"/>
  </r>
  <r>
    <s v="KA_TAV19"/>
    <x v="18"/>
    <x v="0"/>
    <n v="271100"/>
  </r>
  <r>
    <s v="KA_TAV20"/>
    <x v="19"/>
    <x v="0"/>
    <n v="398000"/>
  </r>
  <r>
    <s v="KA_TAV21"/>
    <x v="20"/>
    <x v="0"/>
    <n v="427300"/>
  </r>
  <r>
    <s v="KA_TAV22"/>
    <x v="21"/>
    <x v="0"/>
    <n v="492400"/>
  </r>
  <r>
    <s v="KA_TAV23"/>
    <x v="22"/>
    <x v="0"/>
    <n v="425800"/>
  </r>
  <r>
    <s v="KA_TAV24"/>
    <x v="23"/>
    <x v="0"/>
    <n v="445600"/>
  </r>
  <r>
    <s v="KA_TAV25"/>
    <x v="24"/>
    <x v="0"/>
    <n v="192200"/>
  </r>
  <r>
    <s v="KA_TAV26"/>
    <x v="25"/>
    <x v="0"/>
    <n v="423400"/>
  </r>
  <r>
    <s v="KA_TAV27"/>
    <x v="26"/>
    <x v="0"/>
    <n v="465000"/>
  </r>
  <r>
    <s v="KA_TAV28"/>
    <x v="27"/>
    <x v="0"/>
    <n v="424200"/>
  </r>
  <r>
    <s v="KA_TAV29"/>
    <x v="28"/>
    <x v="0"/>
    <n v="471800"/>
  </r>
  <r>
    <s v="KA_TAV30"/>
    <x v="29"/>
    <x v="0"/>
    <n v="422600"/>
  </r>
  <r>
    <s v="KA_TAV31"/>
    <x v="30"/>
    <x v="0"/>
    <n v="460500"/>
  </r>
  <r>
    <s v="KA_TAV32"/>
    <x v="31"/>
    <x v="0"/>
    <n v="426500"/>
  </r>
  <r>
    <s v="KA_TAV33"/>
    <x v="32"/>
    <x v="0"/>
    <n v="492600"/>
  </r>
  <r>
    <s v="KA_TAV34"/>
    <x v="33"/>
    <x v="0"/>
    <n v="493050"/>
  </r>
  <r>
    <s v="KA_TAV35"/>
    <x v="34"/>
    <x v="0"/>
    <n v="493500"/>
  </r>
  <r>
    <s v="KA_TAV36"/>
    <x v="35"/>
    <x v="0"/>
    <n v="417800"/>
  </r>
  <r>
    <s v="KA_TAV37"/>
    <x v="36"/>
    <x v="0"/>
    <n v="433100"/>
  </r>
  <r>
    <s v="KA_TAV38"/>
    <x v="37"/>
    <x v="0"/>
    <n v="499500"/>
  </r>
  <r>
    <s v="KA_TAV39"/>
    <x v="38"/>
    <x v="0"/>
    <n v="445200"/>
  </r>
  <r>
    <s v="KA_TAV40"/>
    <x v="39"/>
    <x v="0"/>
    <n v="442200"/>
  </r>
  <r>
    <s v="KA_TAV41"/>
    <x v="40"/>
    <x v="0"/>
    <n v="167500"/>
  </r>
  <r>
    <s v="KA_TAV42"/>
    <x v="41"/>
    <x v="0"/>
    <n v="111500"/>
  </r>
  <r>
    <s v="KA_TAV43"/>
    <x v="42"/>
    <x v="0"/>
    <n v="175000"/>
  </r>
  <r>
    <s v="KA_TAV44"/>
    <x v="43"/>
    <x v="0"/>
    <n v="116600"/>
  </r>
  <r>
    <s v="KA_SMP01"/>
    <x v="44"/>
    <x v="1"/>
    <n v="171400"/>
  </r>
  <r>
    <s v="KA_SMP02"/>
    <x v="45"/>
    <x v="1"/>
    <n v="193600"/>
  </r>
  <r>
    <s v="KA_SMP03"/>
    <x v="46"/>
    <x v="1"/>
    <n v="195500"/>
  </r>
  <r>
    <s v="KA_SMP04"/>
    <x v="47"/>
    <x v="1"/>
    <n v="152000"/>
  </r>
  <r>
    <s v="KA_SMP05"/>
    <x v="48"/>
    <x v="1"/>
    <n v="114900"/>
  </r>
  <r>
    <s v="KA_SMP06"/>
    <x v="49"/>
    <x v="1"/>
    <n v="119900"/>
  </r>
  <r>
    <s v="KA_SMP07"/>
    <x v="50"/>
    <x v="1"/>
    <n v="142800"/>
  </r>
  <r>
    <s v="KA_SMP08"/>
    <x v="51"/>
    <x v="1"/>
    <n v="138700"/>
  </r>
  <r>
    <s v="KA_SMP09"/>
    <x v="52"/>
    <x v="1"/>
    <n v="113500"/>
  </r>
  <r>
    <s v="KA_SMP10"/>
    <x v="53"/>
    <x v="1"/>
    <n v="138800"/>
  </r>
  <r>
    <s v="KA_SMP11"/>
    <x v="54"/>
    <x v="1"/>
    <n v="184400"/>
  </r>
  <r>
    <s v="KA_SMP12"/>
    <x v="55"/>
    <x v="1"/>
    <n v="158200"/>
  </r>
  <r>
    <s v="KA_SMP13"/>
    <x v="56"/>
    <x v="1"/>
    <n v="114920"/>
  </r>
  <r>
    <s v="KA_SMP14"/>
    <x v="57"/>
    <x v="1"/>
    <n v="162700"/>
  </r>
  <r>
    <s v="KA_SMP15"/>
    <x v="58"/>
    <x v="1"/>
    <n v="193500"/>
  </r>
  <r>
    <s v="KA_SMP16"/>
    <x v="59"/>
    <x v="1"/>
    <n v="167500"/>
  </r>
  <r>
    <s v="KA_SMP17"/>
    <x v="60"/>
    <x v="1"/>
    <n v="269500"/>
  </r>
  <r>
    <s v="KA_SMP18"/>
    <x v="61"/>
    <x v="1"/>
    <n v="184500"/>
  </r>
  <r>
    <s v="KA_SMP19"/>
    <x v="62"/>
    <x v="1"/>
    <n v="227600"/>
  </r>
  <r>
    <s v="KA_SMP20"/>
    <x v="63"/>
    <x v="1"/>
    <n v="195300"/>
  </r>
  <r>
    <s v="KA_SMP21"/>
    <x v="64"/>
    <x v="1"/>
    <n v="252000"/>
  </r>
  <r>
    <s v="KA_INF01"/>
    <x v="65"/>
    <x v="2"/>
    <n v="207900"/>
  </r>
  <r>
    <s v="KA_INF02"/>
    <x v="66"/>
    <x v="2"/>
    <n v="152600"/>
  </r>
  <r>
    <s v="KA_INF03"/>
    <x v="67"/>
    <x v="2"/>
    <n v="270100"/>
  </r>
  <r>
    <s v="KA_INF04"/>
    <x v="68"/>
    <x v="2"/>
    <n v="189200"/>
  </r>
  <r>
    <s v="KA_INF05"/>
    <x v="69"/>
    <x v="2"/>
    <n v="297200"/>
  </r>
  <r>
    <s v="KA_INF06"/>
    <x v="70"/>
    <x v="2"/>
    <n v="177500"/>
  </r>
  <r>
    <s v="KA_INF07"/>
    <x v="71"/>
    <x v="2"/>
    <n v="176300"/>
  </r>
  <r>
    <s v="KA_INF08"/>
    <x v="72"/>
    <x v="2"/>
    <n v="265300"/>
  </r>
  <r>
    <s v="KA_INF09"/>
    <x v="73"/>
    <x v="2"/>
    <n v="214600"/>
  </r>
  <r>
    <s v="KA_INF10"/>
    <x v="74"/>
    <x v="2"/>
    <n v="190100"/>
  </r>
  <r>
    <s v="KA_INF11"/>
    <x v="75"/>
    <x v="2"/>
    <n v="161700"/>
  </r>
  <r>
    <s v="KA_INF12"/>
    <x v="76"/>
    <x v="2"/>
    <n v="202400"/>
  </r>
  <r>
    <s v="KA_INF13"/>
    <x v="77"/>
    <x v="2"/>
    <n v="211100"/>
  </r>
  <r>
    <s v="KA_INF14"/>
    <x v="78"/>
    <x v="2"/>
    <n v="251100"/>
  </r>
  <r>
    <s v="KA_INF15"/>
    <x v="79"/>
    <x v="2"/>
    <n v="216700"/>
  </r>
  <r>
    <s v="KA_INF16"/>
    <x v="80"/>
    <x v="2"/>
    <n v="357800"/>
  </r>
  <r>
    <s v="KA_INF17"/>
    <x v="81"/>
    <x v="2"/>
    <n v="378900"/>
  </r>
  <r>
    <s v="KA_INF18"/>
    <x v="82"/>
    <x v="2"/>
    <n v="250700"/>
  </r>
  <r>
    <s v="KA_INF19"/>
    <x v="83"/>
    <x v="2"/>
    <n v="371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5" minRefreshableVersion="3" showDrill="0" useAutoFormatting="1" itemPrintTitles="1" createdVersion="5" indent="0" showHeaders="0" outline="1" outlineData="1" multipleFieldFilters="0" chartFormat="1">
  <location ref="B6:C31" firstHeaderRow="1" firstDataRow="1" firstDataCol="1"/>
  <pivotFields count="4">
    <pivotField subtotalTop="0" showAll="0" insertBlankRow="1"/>
    <pivotField axis="axisRow" subtotalTop="0" showAll="0" insertBlankRow="1" measureFilter="1" sortType="descending">
      <items count="85">
        <item x="69"/>
        <item x="70"/>
        <item x="68"/>
        <item x="24"/>
        <item x="53"/>
        <item x="52"/>
        <item x="49"/>
        <item x="51"/>
        <item x="50"/>
        <item x="48"/>
        <item x="47"/>
        <item x="46"/>
        <item x="45"/>
        <item x="44"/>
        <item x="15"/>
        <item x="16"/>
        <item x="17"/>
        <item x="67"/>
        <item x="66"/>
        <item x="59"/>
        <item x="58"/>
        <item x="57"/>
        <item x="56"/>
        <item x="61"/>
        <item x="62"/>
        <item x="55"/>
        <item x="54"/>
        <item x="60"/>
        <item x="63"/>
        <item x="43"/>
        <item x="42"/>
        <item x="41"/>
        <item x="37"/>
        <item x="39"/>
        <item x="38"/>
        <item x="40"/>
        <item x="35"/>
        <item x="36"/>
        <item x="34"/>
        <item x="64"/>
        <item x="31"/>
        <item x="32"/>
        <item x="33"/>
        <item x="19"/>
        <item x="21"/>
        <item x="22"/>
        <item x="23"/>
        <item x="28"/>
        <item x="29"/>
        <item x="30"/>
        <item x="25"/>
        <item x="26"/>
        <item x="27"/>
        <item x="20"/>
        <item x="74"/>
        <item x="72"/>
        <item x="73"/>
        <item x="71"/>
        <item x="83"/>
        <item x="82"/>
        <item x="80"/>
        <item x="81"/>
        <item x="78"/>
        <item x="79"/>
        <item x="76"/>
        <item x="75"/>
        <item x="77"/>
        <item x="65"/>
        <item x="13"/>
        <item x="14"/>
        <item x="3"/>
        <item x="9"/>
        <item x="11"/>
        <item x="2"/>
        <item x="7"/>
        <item x="10"/>
        <item x="6"/>
        <item x="8"/>
        <item x="4"/>
        <item x="5"/>
        <item x="1"/>
        <item x="0"/>
        <item x="12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ubtotalTop="0" showAll="0" insertBlankRow="1">
      <items count="4">
        <item x="2"/>
        <item x="0"/>
        <item x="1"/>
        <item t="default"/>
      </items>
    </pivotField>
    <pivotField dataField="1" numFmtId="3" subtotalTop="0" showAll="0" insertBlankRow="1"/>
  </pivotFields>
  <rowFields count="2">
    <field x="2"/>
    <field x="1"/>
  </rowFields>
  <rowItems count="25">
    <i>
      <x/>
    </i>
    <i r="1">
      <x v="61"/>
    </i>
    <i r="1">
      <x v="58"/>
    </i>
    <i r="1">
      <x v="60"/>
    </i>
    <i r="1">
      <x/>
    </i>
    <i r="1">
      <x v="17"/>
    </i>
    <i t="default">
      <x/>
    </i>
    <i t="blank">
      <x/>
    </i>
    <i>
      <x v="1"/>
    </i>
    <i r="1">
      <x v="32"/>
    </i>
    <i r="1">
      <x v="38"/>
    </i>
    <i r="1">
      <x v="42"/>
    </i>
    <i r="1">
      <x v="41"/>
    </i>
    <i r="1">
      <x v="44"/>
    </i>
    <i t="default">
      <x v="1"/>
    </i>
    <i t="blank">
      <x v="1"/>
    </i>
    <i>
      <x v="2"/>
    </i>
    <i r="1">
      <x v="27"/>
    </i>
    <i r="1">
      <x v="39"/>
    </i>
    <i r="1">
      <x v="24"/>
    </i>
    <i r="1">
      <x v="11"/>
    </i>
    <i r="1">
      <x v="28"/>
    </i>
    <i t="default">
      <x v="2"/>
    </i>
    <i t="blank">
      <x v="2"/>
    </i>
    <i t="grand">
      <x/>
    </i>
  </rowItems>
  <colItems count="1">
    <i/>
  </colItems>
  <dataFields count="1">
    <dataField name="FATURAMENTO" fld="3" baseField="2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1" type="count" evalOrder="-1" id="1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L_RH" displayName="TBL_RH" ref="B3:H54" totalsRowShown="0" headerRowDxfId="2" headerRowBorderDxfId="9">
  <sortState ref="B40:H51">
    <sortCondition ref="G3:G54"/>
  </sortState>
  <tableColumns count="7">
    <tableColumn id="1" name="RA" dataDxfId="8"/>
    <tableColumn id="2" name="Nome" dataDxfId="7"/>
    <tableColumn id="3" name="Depto" dataDxfId="6"/>
    <tableColumn id="4" name="Cargo" dataDxfId="5"/>
    <tableColumn id="5" name="Admissão" dataDxfId="4"/>
    <tableColumn id="6" name="Salário" dataDxfId="3"/>
    <tableColumn id="7" name="Bônus" dataDxfId="0">
      <calculatedColumnFormula>IF(TBL_RH[[#This Row],[Salário]]&gt;=10000,TBL_RH[[#This Row],[Salário]]*5%,TBL_RH[[#This Row],[Salário]]*7.5%)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TBL_DADOS" displayName="TBL_DADOS" ref="A1:D85" totalsRowShown="0" headerRowDxfId="16" dataDxfId="14" headerRowBorderDxfId="15">
  <autoFilter ref="A1:D85">
    <filterColumn colId="0" hiddenButton="1"/>
    <filterColumn colId="1" hiddenButton="1"/>
    <filterColumn colId="2" hiddenButton="1"/>
    <filterColumn colId="3" hiddenButton="1"/>
  </autoFilter>
  <tableColumns count="4">
    <tableColumn id="1" name="Código" dataDxfId="13"/>
    <tableColumn id="2" name="Produto" dataDxfId="12"/>
    <tableColumn id="3" name="Linha" dataDxfId="11"/>
    <tableColumn id="4" name="Vendas" data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S15"/>
  <sheetViews>
    <sheetView showFormulas="1" showGridLines="0" workbookViewId="0">
      <selection activeCell="D10" sqref="D10:F14"/>
    </sheetView>
  </sheetViews>
  <sheetFormatPr defaultRowHeight="15" x14ac:dyDescent="0.25"/>
  <cols>
    <col min="1" max="1" width="3.7109375" customWidth="1"/>
    <col min="2" max="2" width="8" bestFit="1" customWidth="1"/>
    <col min="3" max="6" width="9" bestFit="1" customWidth="1"/>
    <col min="7" max="7" width="9" customWidth="1"/>
    <col min="19" max="19" width="10.42578125" customWidth="1"/>
  </cols>
  <sheetData>
    <row r="5" spans="2:19" x14ac:dyDescent="0.25">
      <c r="D5" s="88" t="s">
        <v>0</v>
      </c>
      <c r="E5" s="88"/>
      <c r="F5" s="88"/>
      <c r="H5" s="1" t="s">
        <v>1</v>
      </c>
      <c r="I5" s="2"/>
      <c r="J5" s="2"/>
      <c r="K5" s="3"/>
      <c r="L5" s="3"/>
      <c r="M5" s="3"/>
      <c r="N5" s="2"/>
      <c r="O5" s="2"/>
      <c r="P5" s="2"/>
      <c r="Q5" s="2"/>
      <c r="R5" s="2"/>
      <c r="S5" s="2"/>
    </row>
    <row r="6" spans="2:19" x14ac:dyDescent="0.25">
      <c r="D6" s="4">
        <v>0.65800000000000003</v>
      </c>
      <c r="E6" s="4">
        <v>0.622</v>
      </c>
      <c r="F6" s="4">
        <v>0.59499999999999997</v>
      </c>
      <c r="H6" s="17" t="s">
        <v>2</v>
      </c>
    </row>
    <row r="7" spans="2:19" x14ac:dyDescent="0.25">
      <c r="D7" s="5"/>
      <c r="E7" s="5"/>
      <c r="F7" s="5"/>
      <c r="H7" s="17" t="s">
        <v>3</v>
      </c>
    </row>
    <row r="8" spans="2:19" x14ac:dyDescent="0.25">
      <c r="D8" s="89" t="s">
        <v>4</v>
      </c>
      <c r="E8" s="89"/>
      <c r="F8" s="89"/>
      <c r="H8" s="17" t="s">
        <v>5</v>
      </c>
    </row>
    <row r="9" spans="2:19" x14ac:dyDescent="0.25">
      <c r="B9" s="7" t="s">
        <v>6</v>
      </c>
      <c r="C9" s="7" t="s">
        <v>7</v>
      </c>
      <c r="D9" s="7" t="s">
        <v>8</v>
      </c>
      <c r="E9" s="7" t="s">
        <v>9</v>
      </c>
      <c r="F9" s="7" t="s">
        <v>10</v>
      </c>
    </row>
    <row r="10" spans="2:19" x14ac:dyDescent="0.25">
      <c r="B10" s="8" t="s">
        <v>11</v>
      </c>
      <c r="C10" s="9">
        <v>89.14</v>
      </c>
      <c r="D10" s="9">
        <f>$C10*(1+D$6)</f>
        <v>147.79411999999999</v>
      </c>
      <c r="E10" s="9">
        <f t="shared" ref="E10:F10" si="0">$C10*(1+E$6)</f>
        <v>144.58508</v>
      </c>
      <c r="F10" s="9">
        <f t="shared" si="0"/>
        <v>142.17830000000001</v>
      </c>
    </row>
    <row r="11" spans="2:19" x14ac:dyDescent="0.25">
      <c r="B11" s="8" t="s">
        <v>12</v>
      </c>
      <c r="C11" s="9">
        <v>75.3</v>
      </c>
      <c r="D11" s="9">
        <f t="shared" ref="D11:F14" si="1">$C11*(1+D$6)</f>
        <v>124.84739999999999</v>
      </c>
      <c r="E11" s="9">
        <f t="shared" si="1"/>
        <v>122.13659999999999</v>
      </c>
      <c r="F11" s="9">
        <f t="shared" si="1"/>
        <v>120.1035</v>
      </c>
    </row>
    <row r="12" spans="2:19" x14ac:dyDescent="0.25">
      <c r="B12" s="8" t="s">
        <v>13</v>
      </c>
      <c r="C12" s="9">
        <v>69.3</v>
      </c>
      <c r="D12" s="9">
        <f t="shared" si="1"/>
        <v>114.89939999999999</v>
      </c>
      <c r="E12" s="9">
        <f t="shared" si="1"/>
        <v>112.40459999999999</v>
      </c>
      <c r="F12" s="9">
        <f t="shared" si="1"/>
        <v>110.53349999999999</v>
      </c>
    </row>
    <row r="13" spans="2:19" x14ac:dyDescent="0.25">
      <c r="B13" s="8" t="s">
        <v>14</v>
      </c>
      <c r="C13" s="9">
        <v>84.5</v>
      </c>
      <c r="D13" s="9">
        <f t="shared" si="1"/>
        <v>140.101</v>
      </c>
      <c r="E13" s="9">
        <f t="shared" si="1"/>
        <v>137.059</v>
      </c>
      <c r="F13" s="9">
        <f t="shared" si="1"/>
        <v>134.7775</v>
      </c>
    </row>
    <row r="14" spans="2:19" x14ac:dyDescent="0.25">
      <c r="B14" s="8" t="s">
        <v>15</v>
      </c>
      <c r="C14" s="9">
        <v>75.23</v>
      </c>
      <c r="D14" s="9">
        <f t="shared" si="1"/>
        <v>124.73134</v>
      </c>
      <c r="E14" s="9">
        <f t="shared" si="1"/>
        <v>122.02306</v>
      </c>
      <c r="F14" s="9">
        <f t="shared" si="1"/>
        <v>119.99185</v>
      </c>
    </row>
    <row r="15" spans="2:19" ht="10.5" customHeight="1" x14ac:dyDescent="0.25">
      <c r="D15" s="9"/>
      <c r="K15" s="10"/>
      <c r="L15" s="10"/>
      <c r="M15" s="10"/>
    </row>
  </sheetData>
  <mergeCells count="2">
    <mergeCell ref="D5:F5"/>
    <mergeCell ref="D8:F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22"/>
  <sheetViews>
    <sheetView showFormulas="1" showGridLines="0" workbookViewId="0">
      <selection activeCell="H5" sqref="H5"/>
    </sheetView>
  </sheetViews>
  <sheetFormatPr defaultRowHeight="15" x14ac:dyDescent="0.25"/>
  <cols>
    <col min="1" max="1" width="2.7109375" customWidth="1"/>
    <col min="2" max="2" width="7.42578125" bestFit="1" customWidth="1"/>
    <col min="3" max="3" width="4.85546875" bestFit="1" customWidth="1"/>
    <col min="4" max="4" width="9.5703125" bestFit="1" customWidth="1"/>
    <col min="5" max="5" width="5.85546875" customWidth="1"/>
    <col min="6" max="6" width="7.85546875" customWidth="1"/>
    <col min="7" max="7" width="12.7109375" customWidth="1"/>
    <col min="8" max="8" width="12" bestFit="1" customWidth="1"/>
    <col min="9" max="9" width="9.140625" customWidth="1"/>
    <col min="11" max="11" width="28.28515625" bestFit="1" customWidth="1"/>
  </cols>
  <sheetData>
    <row r="1" spans="2:17" ht="38.25" customHeight="1" x14ac:dyDescent="0.25">
      <c r="D1" s="11"/>
    </row>
    <row r="2" spans="2:17" ht="18.75" customHeight="1" x14ac:dyDescent="0.25"/>
    <row r="3" spans="2:17" x14ac:dyDescent="0.25">
      <c r="B3" s="12" t="s">
        <v>6</v>
      </c>
      <c r="C3" s="12" t="s">
        <v>16</v>
      </c>
      <c r="D3" s="12" t="s">
        <v>17</v>
      </c>
      <c r="E3" s="13"/>
      <c r="F3" s="89" t="s">
        <v>18</v>
      </c>
      <c r="G3" s="89"/>
      <c r="H3" s="89"/>
      <c r="I3" s="89"/>
      <c r="K3" s="14" t="s">
        <v>19</v>
      </c>
      <c r="L3" s="15"/>
      <c r="M3" s="15"/>
      <c r="N3" s="15"/>
      <c r="O3" s="15"/>
      <c r="P3" s="15"/>
      <c r="Q3" s="2"/>
    </row>
    <row r="4" spans="2:17" x14ac:dyDescent="0.25">
      <c r="B4" s="16" t="s">
        <v>13</v>
      </c>
      <c r="C4" s="16" t="s">
        <v>9</v>
      </c>
      <c r="D4" s="9">
        <v>87</v>
      </c>
      <c r="E4" s="13"/>
      <c r="F4" s="7" t="s">
        <v>6</v>
      </c>
      <c r="G4" s="7" t="s">
        <v>20</v>
      </c>
      <c r="H4" s="7" t="s">
        <v>21</v>
      </c>
      <c r="I4" s="7" t="s">
        <v>22</v>
      </c>
      <c r="K4" s="17" t="s">
        <v>23</v>
      </c>
    </row>
    <row r="5" spans="2:17" x14ac:dyDescent="0.25">
      <c r="B5" s="16" t="s">
        <v>11</v>
      </c>
      <c r="C5" s="16" t="s">
        <v>8</v>
      </c>
      <c r="D5" s="9">
        <v>168</v>
      </c>
      <c r="E5" s="13"/>
      <c r="F5" s="18" t="s">
        <v>11</v>
      </c>
      <c r="G5" s="9">
        <f>SUMIFS(Vendas,Produto,F5)</f>
        <v>640</v>
      </c>
      <c r="H5" s="9">
        <f>AVERAGEIFS(Vendas,Produto,F5)</f>
        <v>160</v>
      </c>
      <c r="I5" s="16">
        <f>COUNTIFS(Produto,F5)</f>
        <v>4</v>
      </c>
      <c r="K5" s="17" t="s">
        <v>24</v>
      </c>
    </row>
    <row r="6" spans="2:17" x14ac:dyDescent="0.25">
      <c r="B6" s="16" t="s">
        <v>12</v>
      </c>
      <c r="C6" s="16" t="s">
        <v>8</v>
      </c>
      <c r="D6" s="9">
        <v>72</v>
      </c>
      <c r="E6" s="13"/>
      <c r="F6" s="18" t="s">
        <v>12</v>
      </c>
      <c r="G6" s="9">
        <f>SUMIFS(Vendas,Produto,F6)</f>
        <v>370</v>
      </c>
      <c r="H6" s="9">
        <f>AVERAGEIFS(Vendas,Produto,F6)</f>
        <v>92.5</v>
      </c>
      <c r="I6" s="16">
        <f>COUNTIFS(Produto,F6)</f>
        <v>4</v>
      </c>
      <c r="K6" s="17" t="s">
        <v>25</v>
      </c>
    </row>
    <row r="7" spans="2:17" ht="15.75" x14ac:dyDescent="0.25">
      <c r="B7" s="16" t="s">
        <v>14</v>
      </c>
      <c r="C7" s="16" t="s">
        <v>10</v>
      </c>
      <c r="D7" s="9">
        <v>219</v>
      </c>
      <c r="E7" s="13"/>
      <c r="F7" s="18" t="s">
        <v>13</v>
      </c>
      <c r="G7" s="9">
        <f>SUMIFS(Vendas,Produto,F7)</f>
        <v>500</v>
      </c>
      <c r="H7" s="9">
        <f>AVERAGEIFS(Vendas,Produto,F7)</f>
        <v>125</v>
      </c>
      <c r="I7" s="16">
        <f>COUNTIFS(Produto,F7)</f>
        <v>4</v>
      </c>
      <c r="K7" s="90" t="s">
        <v>26</v>
      </c>
      <c r="L7" s="90"/>
      <c r="M7" s="90"/>
      <c r="N7" s="90"/>
      <c r="O7" s="90"/>
      <c r="P7" s="90"/>
      <c r="Q7" s="90"/>
    </row>
    <row r="8" spans="2:17" x14ac:dyDescent="0.25">
      <c r="B8" s="16" t="s">
        <v>15</v>
      </c>
      <c r="C8" s="16" t="s">
        <v>9</v>
      </c>
      <c r="D8" s="9">
        <v>241</v>
      </c>
      <c r="E8" s="13"/>
      <c r="F8" s="18" t="s">
        <v>14</v>
      </c>
      <c r="G8" s="9">
        <f>SUMIFS(Vendas,Produto,F8)</f>
        <v>585</v>
      </c>
      <c r="H8" s="9">
        <f>AVERAGEIFS(Vendas,Produto,F8)</f>
        <v>195</v>
      </c>
      <c r="I8" s="16">
        <f>COUNTIFS(Produto,F8)</f>
        <v>3</v>
      </c>
      <c r="K8" s="17" t="s">
        <v>27</v>
      </c>
    </row>
    <row r="9" spans="2:17" x14ac:dyDescent="0.25">
      <c r="B9" s="16" t="s">
        <v>13</v>
      </c>
      <c r="C9" s="16" t="s">
        <v>8</v>
      </c>
      <c r="D9" s="9">
        <v>151</v>
      </c>
      <c r="E9" s="13"/>
      <c r="F9" s="18" t="s">
        <v>15</v>
      </c>
      <c r="G9" s="9">
        <f>SUMIFS(Vendas,Produto,F9)</f>
        <v>499</v>
      </c>
      <c r="H9" s="9">
        <f>AVERAGEIFS(Vendas,Produto,F9)</f>
        <v>166.33333333333334</v>
      </c>
      <c r="I9" s="16">
        <f>COUNTIFS(Produto,F9)</f>
        <v>3</v>
      </c>
      <c r="K9" s="17" t="s">
        <v>28</v>
      </c>
    </row>
    <row r="10" spans="2:17" x14ac:dyDescent="0.25">
      <c r="B10" s="16" t="s">
        <v>11</v>
      </c>
      <c r="C10" s="16" t="s">
        <v>9</v>
      </c>
      <c r="D10" s="9">
        <v>193</v>
      </c>
      <c r="E10" s="13"/>
      <c r="F10" s="19" t="s">
        <v>29</v>
      </c>
      <c r="G10" s="20">
        <f>SUM(G5:G9)</f>
        <v>2594</v>
      </c>
      <c r="H10" s="21"/>
      <c r="I10" s="22">
        <f>SUM(I5:I9)</f>
        <v>18</v>
      </c>
      <c r="K10" s="17" t="s">
        <v>30</v>
      </c>
    </row>
    <row r="11" spans="2:17" x14ac:dyDescent="0.25">
      <c r="B11" s="16" t="s">
        <v>12</v>
      </c>
      <c r="C11" s="16" t="s">
        <v>9</v>
      </c>
      <c r="D11" s="9">
        <v>164</v>
      </c>
      <c r="E11" s="13"/>
      <c r="F11" s="13"/>
      <c r="G11" s="13"/>
      <c r="H11" s="13"/>
      <c r="I11" s="13"/>
      <c r="K11" s="17" t="s">
        <v>31</v>
      </c>
    </row>
    <row r="12" spans="2:17" x14ac:dyDescent="0.25">
      <c r="B12" s="16" t="s">
        <v>14</v>
      </c>
      <c r="C12" s="16" t="s">
        <v>9</v>
      </c>
      <c r="D12" s="9">
        <v>216</v>
      </c>
      <c r="E12" s="13"/>
      <c r="F12" s="13"/>
      <c r="G12" s="13"/>
      <c r="H12" s="13"/>
      <c r="I12" s="13"/>
      <c r="K12" s="17" t="s">
        <v>32</v>
      </c>
    </row>
    <row r="13" spans="2:17" x14ac:dyDescent="0.25">
      <c r="B13" s="16" t="s">
        <v>15</v>
      </c>
      <c r="C13" s="16" t="s">
        <v>8</v>
      </c>
      <c r="D13" s="9">
        <v>154</v>
      </c>
      <c r="E13" s="13"/>
      <c r="F13" s="23" t="s">
        <v>33</v>
      </c>
      <c r="G13" s="24" t="s">
        <v>13</v>
      </c>
      <c r="H13" s="23" t="s">
        <v>34</v>
      </c>
      <c r="I13" s="24" t="s">
        <v>9</v>
      </c>
    </row>
    <row r="14" spans="2:17" x14ac:dyDescent="0.25">
      <c r="B14" s="16" t="s">
        <v>13</v>
      </c>
      <c r="C14" s="16" t="s">
        <v>9</v>
      </c>
      <c r="D14" s="9">
        <v>129</v>
      </c>
      <c r="E14" s="13"/>
      <c r="F14" s="13"/>
      <c r="G14" s="13"/>
      <c r="H14" s="13"/>
      <c r="I14" s="13"/>
    </row>
    <row r="15" spans="2:17" x14ac:dyDescent="0.25">
      <c r="B15" s="16" t="s">
        <v>11</v>
      </c>
      <c r="C15" s="16" t="s">
        <v>10</v>
      </c>
      <c r="D15" s="9">
        <v>171</v>
      </c>
      <c r="E15" s="13"/>
      <c r="F15" s="13"/>
      <c r="G15" s="13"/>
      <c r="H15" s="25" t="s">
        <v>20</v>
      </c>
      <c r="I15" s="13"/>
    </row>
    <row r="16" spans="2:17" x14ac:dyDescent="0.25">
      <c r="B16" s="16" t="s">
        <v>12</v>
      </c>
      <c r="C16" s="16" t="s">
        <v>8</v>
      </c>
      <c r="D16" s="9">
        <v>69</v>
      </c>
      <c r="E16" s="13"/>
      <c r="F16" s="13"/>
      <c r="G16" s="13"/>
      <c r="H16" s="26">
        <f>SUMIFS(Vendas,Produto,G13,Local,I13)</f>
        <v>216</v>
      </c>
      <c r="I16" s="13"/>
    </row>
    <row r="17" spans="2:11" x14ac:dyDescent="0.25">
      <c r="B17" s="16" t="s">
        <v>14</v>
      </c>
      <c r="C17" s="16" t="s">
        <v>8</v>
      </c>
      <c r="D17" s="9">
        <v>150</v>
      </c>
      <c r="E17" s="13"/>
      <c r="F17" s="13"/>
      <c r="G17" s="13"/>
      <c r="H17" s="26"/>
      <c r="I17" s="13"/>
    </row>
    <row r="18" spans="2:11" x14ac:dyDescent="0.25">
      <c r="B18" s="16" t="s">
        <v>15</v>
      </c>
      <c r="C18" s="16" t="s">
        <v>10</v>
      </c>
      <c r="D18" s="9">
        <v>104</v>
      </c>
      <c r="E18" s="13"/>
      <c r="F18" s="13"/>
      <c r="G18" s="13"/>
      <c r="H18" s="13"/>
      <c r="I18" s="13"/>
      <c r="K18" s="27"/>
    </row>
    <row r="19" spans="2:11" x14ac:dyDescent="0.25">
      <c r="B19" s="16" t="s">
        <v>13</v>
      </c>
      <c r="C19" s="16" t="s">
        <v>10</v>
      </c>
      <c r="D19" s="9">
        <v>133</v>
      </c>
      <c r="E19" s="13"/>
      <c r="F19" s="13"/>
      <c r="G19" s="13"/>
      <c r="H19" s="13"/>
      <c r="I19" s="13"/>
    </row>
    <row r="20" spans="2:11" x14ac:dyDescent="0.25">
      <c r="B20" s="16" t="s">
        <v>11</v>
      </c>
      <c r="C20" s="16" t="s">
        <v>8</v>
      </c>
      <c r="D20" s="9">
        <v>108</v>
      </c>
      <c r="E20" s="13"/>
      <c r="F20" s="13"/>
      <c r="G20" s="13"/>
      <c r="H20" s="13"/>
      <c r="I20" s="13"/>
    </row>
    <row r="21" spans="2:11" x14ac:dyDescent="0.25">
      <c r="B21" s="28" t="s">
        <v>12</v>
      </c>
      <c r="C21" s="28" t="s">
        <v>10</v>
      </c>
      <c r="D21" s="29">
        <v>65</v>
      </c>
      <c r="E21" s="13"/>
      <c r="F21" s="13"/>
      <c r="G21" s="13"/>
      <c r="H21" s="13"/>
      <c r="I21" s="13"/>
    </row>
    <row r="22" spans="2:11" x14ac:dyDescent="0.25">
      <c r="B22" s="30" t="s">
        <v>29</v>
      </c>
      <c r="C22" s="25"/>
      <c r="D22" s="31">
        <f>SUM(D4:D21)</f>
        <v>2594</v>
      </c>
      <c r="E22" s="13"/>
      <c r="F22" s="13"/>
      <c r="G22" s="13"/>
      <c r="H22" s="13"/>
      <c r="I22" s="13"/>
    </row>
  </sheetData>
  <mergeCells count="2">
    <mergeCell ref="F3:I3"/>
    <mergeCell ref="K7:Q7"/>
  </mergeCells>
  <dataValidations count="2">
    <dataValidation type="list" allowBlank="1" showInputMessage="1" showErrorMessage="1" sqref="G13">
      <formula1>$F$5:$F$9</formula1>
    </dataValidation>
    <dataValidation type="list" allowBlank="1" showInputMessage="1" showErrorMessage="1" sqref="I13">
      <formula1>"SP,RJ,PR"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7"/>
  <sheetViews>
    <sheetView showFormulas="1" showGridLines="0" workbookViewId="0">
      <selection activeCell="I4" sqref="I4"/>
    </sheetView>
  </sheetViews>
  <sheetFormatPr defaultRowHeight="12.75" x14ac:dyDescent="0.2"/>
  <cols>
    <col min="1" max="1" width="9.140625" style="32"/>
    <col min="2" max="2" width="12.140625" style="32" bestFit="1" customWidth="1"/>
    <col min="3" max="3" width="13.28515625" style="32" bestFit="1" customWidth="1"/>
    <col min="4" max="4" width="8.7109375" style="32" bestFit="1" customWidth="1"/>
    <col min="5" max="6" width="12.7109375" style="32" bestFit="1" customWidth="1"/>
    <col min="7" max="7" width="15.28515625" style="32" bestFit="1" customWidth="1"/>
    <col min="8" max="8" width="8.7109375" style="32" bestFit="1" customWidth="1"/>
    <col min="9" max="9" width="10.42578125" style="32" customWidth="1"/>
    <col min="10" max="16384" width="9.140625" style="32"/>
  </cols>
  <sheetData>
    <row r="1" spans="2:13" ht="43.5" customHeight="1" x14ac:dyDescent="0.2"/>
    <row r="2" spans="2:13" ht="15.75" customHeight="1" x14ac:dyDescent="0.2"/>
    <row r="3" spans="2:13" ht="24.75" customHeight="1" x14ac:dyDescent="0.2">
      <c r="B3" s="91" t="s">
        <v>35</v>
      </c>
      <c r="C3" s="91"/>
      <c r="D3" s="33" t="s">
        <v>36</v>
      </c>
      <c r="E3" s="33" t="s">
        <v>37</v>
      </c>
      <c r="F3" s="33" t="s">
        <v>38</v>
      </c>
      <c r="G3" s="33" t="s">
        <v>39</v>
      </c>
      <c r="H3" s="33" t="s">
        <v>40</v>
      </c>
      <c r="I3" s="33" t="s">
        <v>41</v>
      </c>
      <c r="J3" s="34"/>
      <c r="K3" s="34"/>
      <c r="L3" s="35"/>
      <c r="M3" s="35"/>
    </row>
    <row r="4" spans="2:13" ht="25.5" customHeight="1" x14ac:dyDescent="0.2">
      <c r="B4" s="92" t="s">
        <v>42</v>
      </c>
      <c r="C4" s="36" t="s">
        <v>43</v>
      </c>
      <c r="D4" s="37">
        <f>'Dados KPI'!G6</f>
        <v>18366833</v>
      </c>
      <c r="E4" s="38">
        <f>AVERAGE('Dados KPI'!E6:G6)</f>
        <v>17802384</v>
      </c>
      <c r="F4" s="38">
        <f>AVERAGE('Dados KPI'!B6:G6)</f>
        <v>17270119</v>
      </c>
      <c r="G4" s="39"/>
      <c r="H4" s="37">
        <f>'Dados KPI'!G16</f>
        <v>17750000</v>
      </c>
      <c r="I4" s="87">
        <f>1-(H4/D4)</f>
        <v>3.3584069719586385E-2</v>
      </c>
    </row>
    <row r="5" spans="2:13" ht="25.5" customHeight="1" x14ac:dyDescent="0.2">
      <c r="B5" s="93"/>
      <c r="C5" s="40" t="s">
        <v>44</v>
      </c>
      <c r="D5" s="41">
        <f>'Dados KPI'!G7</f>
        <v>11665484</v>
      </c>
      <c r="E5" s="42">
        <f>AVERAGE('Dados KPI'!E7:G7)</f>
        <v>11510722.25</v>
      </c>
      <c r="F5" s="42">
        <f>AVERAGE('Dados KPI'!B7:G7)</f>
        <v>11358044.941666668</v>
      </c>
      <c r="G5" s="43"/>
      <c r="H5" s="41">
        <f>'Dados KPI'!G17</f>
        <v>12425000</v>
      </c>
      <c r="I5" s="87">
        <f t="shared" ref="I5:I7" si="0">1-(H5/D5)</f>
        <v>-6.5107971516655372E-2</v>
      </c>
    </row>
    <row r="6" spans="2:13" ht="25.5" customHeight="1" x14ac:dyDescent="0.2">
      <c r="B6" s="93"/>
      <c r="C6" s="40" t="s">
        <v>45</v>
      </c>
      <c r="D6" s="41">
        <f>'Dados KPI'!G8</f>
        <v>6701349</v>
      </c>
      <c r="E6" s="42">
        <f>AVERAGE('Dados KPI'!E8:G8)</f>
        <v>6291661.75</v>
      </c>
      <c r="F6" s="42">
        <f>AVERAGE('Dados KPI'!B8:G8)</f>
        <v>5912074.0583333336</v>
      </c>
      <c r="G6" s="43"/>
      <c r="H6" s="41">
        <f>'Dados KPI'!G18</f>
        <v>5325000</v>
      </c>
      <c r="I6" s="87">
        <f t="shared" si="0"/>
        <v>0.20538387121757129</v>
      </c>
    </row>
    <row r="7" spans="2:13" ht="25.5" customHeight="1" x14ac:dyDescent="0.2">
      <c r="B7" s="94"/>
      <c r="C7" s="44" t="s">
        <v>46</v>
      </c>
      <c r="D7" s="45">
        <f>'Dados KPI'!G9</f>
        <v>0.47</v>
      </c>
      <c r="E7" s="46">
        <f>AVERAGE('Dados KPI'!E9:G9)</f>
        <v>0.45666666666666661</v>
      </c>
      <c r="F7" s="46">
        <f>AVERAGE('Dados KPI'!B9:G9)</f>
        <v>0.4416666666666666</v>
      </c>
      <c r="G7" s="47"/>
      <c r="H7" s="45">
        <f>'Dados KPI'!G19</f>
        <v>0.46</v>
      </c>
      <c r="I7" s="87">
        <f t="shared" si="0"/>
        <v>2.1276595744680771E-2</v>
      </c>
    </row>
    <row r="9" spans="2:13" ht="15" x14ac:dyDescent="0.25">
      <c r="B9" s="14" t="s">
        <v>19</v>
      </c>
      <c r="C9" s="15"/>
      <c r="D9" s="15"/>
      <c r="E9" s="15"/>
      <c r="F9" s="15"/>
      <c r="G9" s="15"/>
      <c r="H9" s="15"/>
      <c r="I9" s="15"/>
      <c r="J9" s="15"/>
      <c r="K9" s="15"/>
    </row>
    <row r="10" spans="2:13" x14ac:dyDescent="0.2">
      <c r="B10" s="48" t="s">
        <v>47</v>
      </c>
    </row>
    <row r="11" spans="2:13" x14ac:dyDescent="0.2">
      <c r="B11" s="48" t="s">
        <v>48</v>
      </c>
    </row>
    <row r="12" spans="2:13" x14ac:dyDescent="0.2">
      <c r="B12" s="48" t="s">
        <v>49</v>
      </c>
    </row>
    <row r="13" spans="2:13" x14ac:dyDescent="0.2">
      <c r="B13" s="48" t="s">
        <v>50</v>
      </c>
    </row>
    <row r="14" spans="2:13" x14ac:dyDescent="0.2">
      <c r="B14" s="48" t="s">
        <v>51</v>
      </c>
    </row>
    <row r="15" spans="2:13" x14ac:dyDescent="0.2">
      <c r="B15" s="48" t="s">
        <v>52</v>
      </c>
    </row>
    <row r="16" spans="2:13" x14ac:dyDescent="0.2">
      <c r="B16" s="48" t="s">
        <v>53</v>
      </c>
    </row>
    <row r="17" spans="2:2" x14ac:dyDescent="0.2">
      <c r="B17" s="48" t="s">
        <v>54</v>
      </c>
    </row>
  </sheetData>
  <mergeCells count="2">
    <mergeCell ref="B3:C3"/>
    <mergeCell ref="B4:B7"/>
  </mergeCells>
  <conditionalFormatting sqref="I4:I7">
    <cfRule type="iconSet" priority="1">
      <iconSet iconSet="3Flags">
        <cfvo type="percent" val="0"/>
        <cfvo type="num" val="0"/>
        <cfvo type="num" val="0" gte="0"/>
      </iconSet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>
          <x14:colorSeries theme="1"/>
          <x14:colorNegative theme="9"/>
          <x14:colorAxis rgb="FF000000"/>
          <x14:colorMarkers theme="8"/>
          <x14:colorFirst theme="4"/>
          <x14:colorLast theme="5"/>
          <x14:colorHigh rgb="FFFF0000"/>
          <x14:colorLow theme="7"/>
          <x14:sparklines>
            <x14:sparkline>
              <xm:f>'Dados KPI'!B6:G6</xm:f>
              <xm:sqref>G4</xm:sqref>
            </x14:sparkline>
            <x14:sparkline>
              <xm:f>'Dados KPI'!B7:G7</xm:f>
              <xm:sqref>G5</xm:sqref>
            </x14:sparkline>
            <x14:sparkline>
              <xm:f>'Dados KPI'!B8:G8</xm:f>
              <xm:sqref>G6</xm:sqref>
            </x14:sparkline>
            <x14:sparkline>
              <xm:f>'Dados KPI'!B9:G9</xm:f>
              <xm:sqref>G7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6"/>
  <sheetViews>
    <sheetView showGridLines="0" workbookViewId="0">
      <selection activeCell="C16" sqref="B16:G16"/>
    </sheetView>
  </sheetViews>
  <sheetFormatPr defaultRowHeight="12" x14ac:dyDescent="0.2"/>
  <cols>
    <col min="1" max="1" width="15.7109375" style="13" customWidth="1"/>
    <col min="2" max="7" width="8.7109375" style="13" bestFit="1" customWidth="1"/>
    <col min="8" max="16384" width="9.140625" style="13"/>
  </cols>
  <sheetData>
    <row r="1" spans="1:15" ht="39" customHeight="1" x14ac:dyDescent="0.2"/>
    <row r="2" spans="1:15" ht="19.5" customHeight="1" x14ac:dyDescent="0.2"/>
    <row r="3" spans="1:15" x14ac:dyDescent="0.2">
      <c r="A3" s="49" t="s">
        <v>55</v>
      </c>
    </row>
    <row r="5" spans="1:15" x14ac:dyDescent="0.2">
      <c r="B5" s="50" t="s">
        <v>56</v>
      </c>
      <c r="C5" s="50" t="s">
        <v>57</v>
      </c>
      <c r="D5" s="50" t="s">
        <v>58</v>
      </c>
      <c r="E5" s="50" t="s">
        <v>59</v>
      </c>
      <c r="F5" s="50" t="s">
        <v>60</v>
      </c>
      <c r="G5" s="50" t="s">
        <v>61</v>
      </c>
    </row>
    <row r="6" spans="1:15" x14ac:dyDescent="0.2">
      <c r="A6" s="13" t="s">
        <v>43</v>
      </c>
      <c r="B6" s="51">
        <v>15388484</v>
      </c>
      <c r="C6" s="51">
        <v>17388433</v>
      </c>
      <c r="D6" s="51">
        <v>17436645</v>
      </c>
      <c r="E6" s="51">
        <v>17584775</v>
      </c>
      <c r="F6" s="51">
        <v>17455544</v>
      </c>
      <c r="G6" s="51">
        <v>18366833</v>
      </c>
    </row>
    <row r="7" spans="1:15" x14ac:dyDescent="0.2">
      <c r="A7" s="13" t="s">
        <v>44</v>
      </c>
      <c r="B7" s="51">
        <v>10024817.800000001</v>
      </c>
      <c r="C7" s="51">
        <v>10944794.85</v>
      </c>
      <c r="D7" s="51">
        <v>12646490.25</v>
      </c>
      <c r="E7" s="51">
        <v>12331348.75</v>
      </c>
      <c r="F7" s="51">
        <v>10535334</v>
      </c>
      <c r="G7" s="51">
        <v>11665484</v>
      </c>
    </row>
    <row r="8" spans="1:15" x14ac:dyDescent="0.2">
      <c r="A8" s="13" t="s">
        <v>45</v>
      </c>
      <c r="B8" s="51">
        <v>5363666.2</v>
      </c>
      <c r="C8" s="51">
        <v>6443638.1500000004</v>
      </c>
      <c r="D8" s="51">
        <v>4790154.75</v>
      </c>
      <c r="E8" s="51">
        <v>5253426.25</v>
      </c>
      <c r="F8" s="51">
        <v>6920210</v>
      </c>
      <c r="G8" s="51">
        <v>6701349</v>
      </c>
    </row>
    <row r="9" spans="1:15" x14ac:dyDescent="0.2">
      <c r="A9" s="13" t="s">
        <v>46</v>
      </c>
      <c r="B9" s="52">
        <v>0.42</v>
      </c>
      <c r="C9" s="52">
        <v>0.43</v>
      </c>
      <c r="D9" s="52">
        <v>0.43</v>
      </c>
      <c r="E9" s="52">
        <v>0.43</v>
      </c>
      <c r="F9" s="52">
        <v>0.47</v>
      </c>
      <c r="G9" s="52">
        <v>0.47</v>
      </c>
      <c r="J9" s="53"/>
      <c r="K9" s="53"/>
      <c r="L9" s="53"/>
      <c r="M9" s="53"/>
      <c r="N9" s="53"/>
      <c r="O9" s="53"/>
    </row>
    <row r="10" spans="1:15" x14ac:dyDescent="0.2">
      <c r="B10" s="51"/>
      <c r="C10" s="51"/>
      <c r="D10" s="51"/>
      <c r="E10" s="51"/>
      <c r="F10" s="51"/>
      <c r="G10" s="51"/>
    </row>
    <row r="11" spans="1:15" ht="5.25" customHeight="1" x14ac:dyDescent="0.2">
      <c r="A11" s="95"/>
      <c r="B11" s="95"/>
      <c r="C11" s="95"/>
      <c r="D11" s="95"/>
      <c r="E11" s="95"/>
      <c r="F11" s="95"/>
      <c r="G11" s="95"/>
    </row>
    <row r="12" spans="1:15" x14ac:dyDescent="0.2">
      <c r="B12" s="51"/>
      <c r="C12" s="51"/>
      <c r="D12" s="51"/>
      <c r="E12" s="51"/>
      <c r="F12" s="51"/>
      <c r="G12" s="51"/>
    </row>
    <row r="13" spans="1:15" x14ac:dyDescent="0.2">
      <c r="A13" s="49" t="s">
        <v>62</v>
      </c>
      <c r="B13" s="54"/>
    </row>
    <row r="14" spans="1:15" x14ac:dyDescent="0.2">
      <c r="A14" s="55"/>
    </row>
    <row r="15" spans="1:15" x14ac:dyDescent="0.2">
      <c r="B15" s="50" t="s">
        <v>56</v>
      </c>
      <c r="C15" s="50" t="s">
        <v>57</v>
      </c>
      <c r="D15" s="50" t="s">
        <v>58</v>
      </c>
      <c r="E15" s="50" t="s">
        <v>59</v>
      </c>
      <c r="F15" s="50" t="s">
        <v>60</v>
      </c>
      <c r="G15" s="50" t="s">
        <v>61</v>
      </c>
    </row>
    <row r="16" spans="1:15" x14ac:dyDescent="0.2">
      <c r="A16" s="13" t="s">
        <v>43</v>
      </c>
      <c r="B16" s="56">
        <v>16250000</v>
      </c>
      <c r="C16" s="56">
        <v>16750000</v>
      </c>
      <c r="D16" s="56">
        <v>17250000</v>
      </c>
      <c r="E16" s="56">
        <v>17750000</v>
      </c>
      <c r="F16" s="56">
        <v>17500000</v>
      </c>
      <c r="G16" s="56">
        <v>17750000</v>
      </c>
    </row>
    <row r="17" spans="1:7" x14ac:dyDescent="0.2">
      <c r="A17" s="13" t="s">
        <v>44</v>
      </c>
      <c r="B17" s="56">
        <v>11375000</v>
      </c>
      <c r="C17" s="56">
        <v>11725000</v>
      </c>
      <c r="D17" s="56">
        <v>12075000</v>
      </c>
      <c r="E17" s="56">
        <v>12425000</v>
      </c>
      <c r="F17" s="56">
        <v>12250000</v>
      </c>
      <c r="G17" s="56">
        <v>12425000</v>
      </c>
    </row>
    <row r="18" spans="1:7" x14ac:dyDescent="0.2">
      <c r="A18" s="13" t="s">
        <v>45</v>
      </c>
      <c r="B18" s="56">
        <v>4875000</v>
      </c>
      <c r="C18" s="56">
        <v>5025000</v>
      </c>
      <c r="D18" s="56">
        <v>5175000</v>
      </c>
      <c r="E18" s="56">
        <v>5325000</v>
      </c>
      <c r="F18" s="56">
        <v>5250000</v>
      </c>
      <c r="G18" s="56">
        <v>5325000</v>
      </c>
    </row>
    <row r="19" spans="1:7" x14ac:dyDescent="0.2">
      <c r="A19" s="13" t="s">
        <v>46</v>
      </c>
      <c r="B19" s="57">
        <v>0.45</v>
      </c>
      <c r="C19" s="57">
        <v>0.46</v>
      </c>
      <c r="D19" s="57">
        <v>0.46</v>
      </c>
      <c r="E19" s="57">
        <v>0.46</v>
      </c>
      <c r="F19" s="57">
        <v>0.46</v>
      </c>
      <c r="G19" s="57">
        <v>0.46</v>
      </c>
    </row>
    <row r="20" spans="1:7" x14ac:dyDescent="0.2">
      <c r="B20" s="51"/>
      <c r="C20" s="51"/>
      <c r="D20" s="51"/>
      <c r="E20" s="51"/>
      <c r="F20" s="51"/>
      <c r="G20" s="51"/>
    </row>
    <row r="21" spans="1:7" x14ac:dyDescent="0.2">
      <c r="B21" s="51"/>
      <c r="C21" s="51"/>
      <c r="D21" s="51"/>
      <c r="E21" s="51"/>
      <c r="F21" s="51"/>
      <c r="G21" s="51"/>
    </row>
    <row r="22" spans="1:7" x14ac:dyDescent="0.2">
      <c r="B22" s="51"/>
      <c r="C22" s="51"/>
      <c r="D22" s="51"/>
      <c r="E22" s="51"/>
      <c r="F22" s="51"/>
      <c r="G22" s="51"/>
    </row>
    <row r="23" spans="1:7" x14ac:dyDescent="0.2">
      <c r="B23" s="51"/>
      <c r="C23" s="51"/>
      <c r="D23" s="51"/>
      <c r="E23" s="51"/>
      <c r="F23" s="51"/>
      <c r="G23" s="51"/>
    </row>
    <row r="24" spans="1:7" x14ac:dyDescent="0.2">
      <c r="B24" s="51"/>
      <c r="C24" s="51"/>
      <c r="D24" s="51"/>
      <c r="E24" s="51"/>
      <c r="F24" s="51"/>
      <c r="G24" s="51"/>
    </row>
    <row r="25" spans="1:7" x14ac:dyDescent="0.2">
      <c r="B25" s="51"/>
      <c r="C25" s="51"/>
      <c r="D25" s="51"/>
      <c r="E25" s="51"/>
      <c r="F25" s="51"/>
      <c r="G25" s="51"/>
    </row>
    <row r="26" spans="1:7" x14ac:dyDescent="0.2">
      <c r="B26" s="51"/>
      <c r="C26" s="51"/>
      <c r="D26" s="51"/>
      <c r="E26" s="51"/>
      <c r="F26" s="51"/>
      <c r="G26" s="51"/>
    </row>
    <row r="27" spans="1:7" x14ac:dyDescent="0.2">
      <c r="B27" s="58"/>
      <c r="C27" s="58"/>
      <c r="D27" s="58"/>
      <c r="E27" s="58"/>
      <c r="F27" s="58"/>
      <c r="G27" s="58"/>
    </row>
    <row r="28" spans="1:7" x14ac:dyDescent="0.2">
      <c r="B28" s="59"/>
      <c r="C28" s="59"/>
      <c r="D28" s="59"/>
      <c r="E28" s="59"/>
      <c r="F28" s="59"/>
      <c r="G28" s="59"/>
    </row>
    <row r="29" spans="1:7" x14ac:dyDescent="0.2">
      <c r="B29" s="59"/>
      <c r="C29" s="59"/>
      <c r="D29" s="59"/>
      <c r="E29" s="59"/>
      <c r="F29" s="59"/>
      <c r="G29" s="59"/>
    </row>
    <row r="30" spans="1:7" x14ac:dyDescent="0.2">
      <c r="B30" s="59"/>
      <c r="C30" s="59"/>
      <c r="D30" s="59"/>
      <c r="E30" s="59"/>
      <c r="F30" s="59"/>
      <c r="G30" s="59"/>
    </row>
    <row r="31" spans="1:7" x14ac:dyDescent="0.2">
      <c r="B31" s="59"/>
      <c r="C31" s="59"/>
      <c r="D31" s="59"/>
      <c r="E31" s="59"/>
      <c r="F31" s="59"/>
      <c r="G31" s="59"/>
    </row>
    <row r="32" spans="1:7" x14ac:dyDescent="0.2">
      <c r="B32" s="59"/>
      <c r="C32" s="59"/>
      <c r="D32" s="59"/>
      <c r="E32" s="59"/>
      <c r="F32" s="59"/>
      <c r="G32" s="59"/>
    </row>
    <row r="33" spans="2:7" x14ac:dyDescent="0.2">
      <c r="B33" s="59"/>
      <c r="C33" s="59"/>
      <c r="D33" s="59"/>
      <c r="E33" s="59"/>
      <c r="F33" s="59"/>
      <c r="G33" s="59"/>
    </row>
    <row r="35" spans="2:7" x14ac:dyDescent="0.2">
      <c r="B35" s="51"/>
      <c r="C35" s="51"/>
      <c r="D35" s="51"/>
      <c r="E35" s="51"/>
      <c r="F35" s="51"/>
      <c r="G35" s="51"/>
    </row>
    <row r="36" spans="2:7" x14ac:dyDescent="0.2">
      <c r="B36" s="51"/>
      <c r="C36" s="51"/>
      <c r="D36" s="51"/>
      <c r="E36" s="51"/>
      <c r="F36" s="51"/>
      <c r="G36" s="51"/>
    </row>
  </sheetData>
  <mergeCells count="1">
    <mergeCell ref="A11:G1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7"/>
  <sheetViews>
    <sheetView showGridLines="0" topLeftCell="A2" workbookViewId="0">
      <selection activeCell="F4" sqref="F4"/>
    </sheetView>
  </sheetViews>
  <sheetFormatPr defaultRowHeight="12.75" x14ac:dyDescent="0.2"/>
  <cols>
    <col min="1" max="1" width="5.7109375" style="32" customWidth="1"/>
    <col min="2" max="2" width="9.28515625" style="32" customWidth="1"/>
    <col min="3" max="3" width="9.5703125" style="32" bestFit="1" customWidth="1"/>
    <col min="4" max="4" width="10.7109375" style="32" customWidth="1"/>
    <col min="5" max="5" width="18.28515625" style="32" customWidth="1"/>
    <col min="6" max="6" width="10.7109375" style="32" customWidth="1"/>
    <col min="7" max="7" width="9.7109375" style="32" customWidth="1"/>
    <col min="8" max="8" width="8.7109375" style="32" customWidth="1"/>
    <col min="9" max="9" width="4.7109375" style="32" customWidth="1"/>
    <col min="10" max="10" width="6.5703125" style="32" bestFit="1" customWidth="1"/>
    <col min="11" max="11" width="9" style="32" bestFit="1" customWidth="1"/>
    <col min="12" max="12" width="10.42578125" style="32" bestFit="1" customWidth="1"/>
    <col min="13" max="13" width="9.28515625" style="32" bestFit="1" customWidth="1"/>
    <col min="14" max="16384" width="9.140625" style="32"/>
  </cols>
  <sheetData>
    <row r="1" spans="2:13" ht="42" customHeight="1" x14ac:dyDescent="0.2"/>
    <row r="2" spans="2:13" ht="23.25" customHeight="1" x14ac:dyDescent="0.2"/>
    <row r="3" spans="2:13" ht="15" x14ac:dyDescent="0.25">
      <c r="B3" s="60" t="s">
        <v>63</v>
      </c>
      <c r="C3" s="60" t="s">
        <v>64</v>
      </c>
      <c r="D3" s="60" t="s">
        <v>65</v>
      </c>
      <c r="E3" s="60" t="s">
        <v>66</v>
      </c>
      <c r="F3" s="60" t="s">
        <v>67</v>
      </c>
      <c r="G3" s="61"/>
      <c r="I3" s="96" t="s">
        <v>68</v>
      </c>
      <c r="J3" s="96"/>
      <c r="K3" s="96"/>
      <c r="L3" s="96"/>
      <c r="M3" s="96"/>
    </row>
    <row r="4" spans="2:13" x14ac:dyDescent="0.2">
      <c r="B4" s="62">
        <v>1</v>
      </c>
      <c r="C4" s="62" t="s">
        <v>11</v>
      </c>
      <c r="D4" s="63">
        <v>2500</v>
      </c>
      <c r="E4" s="64" t="str">
        <f>IFERROR(VLOOKUP(B4,$I$5:$M$7,4,FALSE),"Em aberto!")</f>
        <v>Em aberto!</v>
      </c>
      <c r="F4" s="63">
        <f>IFERROR(VLOOKUP(B4,$I$5:$M$7,5,0),0)</f>
        <v>0</v>
      </c>
      <c r="G4" s="63"/>
      <c r="I4" s="61" t="s">
        <v>63</v>
      </c>
      <c r="J4" s="61" t="s">
        <v>64</v>
      </c>
      <c r="K4" s="61" t="s">
        <v>65</v>
      </c>
      <c r="L4" s="61" t="s">
        <v>66</v>
      </c>
      <c r="M4" s="61" t="s">
        <v>67</v>
      </c>
    </row>
    <row r="5" spans="2:13" x14ac:dyDescent="0.2">
      <c r="B5" s="62">
        <v>2</v>
      </c>
      <c r="C5" s="62" t="s">
        <v>12</v>
      </c>
      <c r="D5" s="63">
        <v>3200</v>
      </c>
      <c r="E5" s="64">
        <f t="shared" ref="E5:E8" si="0">IFERROR(VLOOKUP(B5,$I$5:$M$7,4,FALSE),"Em aberto!")</f>
        <v>43927</v>
      </c>
      <c r="F5" s="63">
        <f t="shared" ref="F5:F8" si="1">IFERROR(VLOOKUP(B5,$I$5:$M$7,5,0),0)</f>
        <v>3280</v>
      </c>
      <c r="G5" s="63"/>
      <c r="I5" s="65">
        <v>2</v>
      </c>
      <c r="J5" s="62" t="s">
        <v>12</v>
      </c>
      <c r="K5" s="66">
        <v>3200</v>
      </c>
      <c r="L5" s="67">
        <v>43927</v>
      </c>
      <c r="M5" s="66">
        <v>3280</v>
      </c>
    </row>
    <row r="6" spans="2:13" x14ac:dyDescent="0.2">
      <c r="B6" s="62">
        <v>3</v>
      </c>
      <c r="C6" s="62" t="s">
        <v>13</v>
      </c>
      <c r="D6" s="63">
        <v>1500</v>
      </c>
      <c r="E6" s="64" t="str">
        <f t="shared" si="0"/>
        <v>Em aberto!</v>
      </c>
      <c r="F6" s="63">
        <f t="shared" si="1"/>
        <v>0</v>
      </c>
      <c r="G6" s="63"/>
      <c r="I6" s="65">
        <v>4</v>
      </c>
      <c r="J6" s="62" t="s">
        <v>14</v>
      </c>
      <c r="K6" s="66">
        <v>2000</v>
      </c>
      <c r="L6" s="67">
        <v>43926</v>
      </c>
      <c r="M6" s="66">
        <v>2000</v>
      </c>
    </row>
    <row r="7" spans="2:13" x14ac:dyDescent="0.2">
      <c r="B7" s="62">
        <v>4</v>
      </c>
      <c r="C7" s="62" t="s">
        <v>14</v>
      </c>
      <c r="D7" s="63">
        <v>2000</v>
      </c>
      <c r="E7" s="64">
        <f t="shared" si="0"/>
        <v>43926</v>
      </c>
      <c r="F7" s="63">
        <f t="shared" si="1"/>
        <v>2000</v>
      </c>
      <c r="G7" s="63"/>
      <c r="I7" s="68">
        <v>5</v>
      </c>
      <c r="J7" s="69" t="s">
        <v>15</v>
      </c>
      <c r="K7" s="70">
        <v>3000</v>
      </c>
      <c r="L7" s="71">
        <v>43927</v>
      </c>
      <c r="M7" s="70">
        <v>3000</v>
      </c>
    </row>
    <row r="8" spans="2:13" x14ac:dyDescent="0.2">
      <c r="B8" s="62">
        <v>5</v>
      </c>
      <c r="C8" s="62" t="s">
        <v>15</v>
      </c>
      <c r="D8" s="63">
        <v>3000</v>
      </c>
      <c r="E8" s="64">
        <f t="shared" si="0"/>
        <v>43927</v>
      </c>
      <c r="F8" s="63">
        <f t="shared" si="1"/>
        <v>3000</v>
      </c>
      <c r="G8" s="63"/>
    </row>
    <row r="11" spans="2:13" ht="15" x14ac:dyDescent="0.25">
      <c r="B11" s="14" t="s">
        <v>19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2:13" x14ac:dyDescent="0.2">
      <c r="B12" s="48" t="s">
        <v>69</v>
      </c>
    </row>
    <row r="13" spans="2:13" x14ac:dyDescent="0.2">
      <c r="B13" s="48" t="s">
        <v>70</v>
      </c>
    </row>
    <row r="14" spans="2:13" x14ac:dyDescent="0.2">
      <c r="B14" s="48" t="s">
        <v>71</v>
      </c>
    </row>
    <row r="15" spans="2:13" x14ac:dyDescent="0.2">
      <c r="B15" s="48" t="s">
        <v>72</v>
      </c>
    </row>
    <row r="16" spans="2:13" x14ac:dyDescent="0.2">
      <c r="B16" s="48" t="s">
        <v>73</v>
      </c>
    </row>
    <row r="17" spans="2:2" x14ac:dyDescent="0.2">
      <c r="B17" s="48" t="s">
        <v>74</v>
      </c>
    </row>
  </sheetData>
  <mergeCells count="1">
    <mergeCell ref="I3:M3"/>
  </mergeCells>
  <conditionalFormatting sqref="B4:G8">
    <cfRule type="expression" dxfId="1" priority="1">
      <formula>$E4="Em aberto!"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2"/>
  <sheetViews>
    <sheetView showGridLines="0" zoomScale="175" zoomScaleNormal="175" workbookViewId="0">
      <selection activeCell="G7" sqref="G7"/>
    </sheetView>
  </sheetViews>
  <sheetFormatPr defaultRowHeight="15" x14ac:dyDescent="0.25"/>
  <sheetData>
    <row r="1" spans="2:11" ht="44.25" customHeight="1" x14ac:dyDescent="0.25"/>
    <row r="3" spans="2:11" x14ac:dyDescent="0.25">
      <c r="B3" s="14" t="s">
        <v>19</v>
      </c>
      <c r="C3" s="2"/>
      <c r="D3" s="2"/>
      <c r="E3" s="2"/>
      <c r="F3" s="2"/>
      <c r="G3" s="2"/>
      <c r="H3" s="2"/>
      <c r="I3" s="2"/>
      <c r="J3" s="2"/>
      <c r="K3" s="2"/>
    </row>
    <row r="4" spans="2:11" x14ac:dyDescent="0.25">
      <c r="B4" s="48" t="s">
        <v>75</v>
      </c>
    </row>
    <row r="5" spans="2:11" x14ac:dyDescent="0.25">
      <c r="B5" s="48" t="s">
        <v>76</v>
      </c>
    </row>
    <row r="6" spans="2:11" x14ac:dyDescent="0.25">
      <c r="B6" s="48" t="s">
        <v>77</v>
      </c>
    </row>
    <row r="7" spans="2:11" x14ac:dyDescent="0.25">
      <c r="B7" s="48" t="s">
        <v>78</v>
      </c>
    </row>
    <row r="8" spans="2:11" x14ac:dyDescent="0.25">
      <c r="B8" s="48" t="s">
        <v>79</v>
      </c>
    </row>
    <row r="9" spans="2:11" x14ac:dyDescent="0.25">
      <c r="B9" s="48" t="s">
        <v>80</v>
      </c>
    </row>
    <row r="10" spans="2:11" x14ac:dyDescent="0.25">
      <c r="B10" s="48" t="s">
        <v>81</v>
      </c>
    </row>
    <row r="11" spans="2:11" x14ac:dyDescent="0.25">
      <c r="B11" s="48" t="s">
        <v>82</v>
      </c>
    </row>
    <row r="12" spans="2:11" x14ac:dyDescent="0.25">
      <c r="B12" s="48" t="s">
        <v>83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57"/>
  <sheetViews>
    <sheetView showFormulas="1" showGridLines="0" topLeftCell="F1" workbookViewId="0">
      <selection activeCell="H4" sqref="H4"/>
    </sheetView>
  </sheetViews>
  <sheetFormatPr defaultRowHeight="12.75" x14ac:dyDescent="0.2"/>
  <cols>
    <col min="1" max="1" width="9.140625" style="32"/>
    <col min="2" max="2" width="8.7109375" style="62" customWidth="1"/>
    <col min="3" max="3" width="10" style="32" bestFit="1" customWidth="1"/>
    <col min="4" max="4" width="13.5703125" style="32" bestFit="1" customWidth="1"/>
    <col min="5" max="5" width="18.42578125" style="32" bestFit="1" customWidth="1"/>
    <col min="6" max="6" width="14.5703125" style="62" customWidth="1"/>
    <col min="7" max="7" width="9.140625" style="32"/>
    <col min="8" max="8" width="18.42578125" style="32" customWidth="1"/>
    <col min="9" max="16384" width="9.140625" style="32"/>
  </cols>
  <sheetData>
    <row r="1" spans="2:8" ht="42.75" customHeight="1" x14ac:dyDescent="0.2"/>
    <row r="2" spans="2:8" ht="15" customHeight="1" x14ac:dyDescent="0.2"/>
    <row r="3" spans="2:8" x14ac:dyDescent="0.2">
      <c r="B3" s="72" t="s">
        <v>84</v>
      </c>
      <c r="C3" s="72" t="s">
        <v>85</v>
      </c>
      <c r="D3" s="72" t="s">
        <v>86</v>
      </c>
      <c r="E3" s="72" t="s">
        <v>87</v>
      </c>
      <c r="F3" s="72" t="s">
        <v>88</v>
      </c>
      <c r="G3" s="73" t="s">
        <v>89</v>
      </c>
      <c r="H3" s="73" t="s">
        <v>90</v>
      </c>
    </row>
    <row r="4" spans="2:8" x14ac:dyDescent="0.2">
      <c r="B4" s="62">
        <v>1000</v>
      </c>
      <c r="C4" s="32" t="s">
        <v>91</v>
      </c>
      <c r="D4" s="32" t="s">
        <v>92</v>
      </c>
      <c r="E4" s="32" t="s">
        <v>93</v>
      </c>
      <c r="F4" s="64">
        <v>43105</v>
      </c>
      <c r="G4" s="74">
        <v>1768</v>
      </c>
      <c r="H4" s="74">
        <f>IF(TBL_RH[[#This Row],[Salário]]&gt;=10000,TBL_RH[[#This Row],[Salário]]*5%,TBL_RH[[#This Row],[Salário]]*7.5%)</f>
        <v>132.6</v>
      </c>
    </row>
    <row r="5" spans="2:8" x14ac:dyDescent="0.2">
      <c r="B5" s="62">
        <v>1001</v>
      </c>
      <c r="C5" s="32" t="s">
        <v>94</v>
      </c>
      <c r="D5" s="32" t="s">
        <v>92</v>
      </c>
      <c r="E5" s="32" t="s">
        <v>93</v>
      </c>
      <c r="F5" s="64">
        <v>43105</v>
      </c>
      <c r="G5" s="74">
        <v>1590</v>
      </c>
      <c r="H5" s="74">
        <f>IF(TBL_RH[[#This Row],[Salário]]&gt;=10000,TBL_RH[[#This Row],[Salário]]*5%,TBL_RH[[#This Row],[Salário]]*7.5%)</f>
        <v>119.25</v>
      </c>
    </row>
    <row r="6" spans="2:8" x14ac:dyDescent="0.2">
      <c r="B6" s="62">
        <v>1002</v>
      </c>
      <c r="C6" s="32" t="s">
        <v>95</v>
      </c>
      <c r="D6" s="32" t="s">
        <v>92</v>
      </c>
      <c r="E6" s="32" t="s">
        <v>93</v>
      </c>
      <c r="F6" s="64">
        <v>43105</v>
      </c>
      <c r="G6" s="74">
        <v>2095</v>
      </c>
      <c r="H6" s="74">
        <f>IF(TBL_RH[[#This Row],[Salário]]&gt;=10000,TBL_RH[[#This Row],[Salário]]*5%,TBL_RH[[#This Row],[Salário]]*7.5%)</f>
        <v>157.125</v>
      </c>
    </row>
    <row r="7" spans="2:8" x14ac:dyDescent="0.2">
      <c r="B7" s="62">
        <v>1003</v>
      </c>
      <c r="C7" s="32" t="s">
        <v>96</v>
      </c>
      <c r="D7" s="32" t="s">
        <v>92</v>
      </c>
      <c r="E7" s="32" t="s">
        <v>93</v>
      </c>
      <c r="F7" s="64">
        <v>43105</v>
      </c>
      <c r="G7" s="74">
        <v>1508</v>
      </c>
      <c r="H7" s="74">
        <f>IF(TBL_RH[[#This Row],[Salário]]&gt;=10000,TBL_RH[[#This Row],[Salário]]*5%,TBL_RH[[#This Row],[Salário]]*7.5%)</f>
        <v>113.1</v>
      </c>
    </row>
    <row r="8" spans="2:8" x14ac:dyDescent="0.2">
      <c r="B8" s="62">
        <v>1004</v>
      </c>
      <c r="C8" s="32" t="s">
        <v>97</v>
      </c>
      <c r="D8" s="32" t="s">
        <v>92</v>
      </c>
      <c r="E8" s="32" t="s">
        <v>93</v>
      </c>
      <c r="F8" s="64">
        <v>43105</v>
      </c>
      <c r="G8" s="74">
        <v>1812</v>
      </c>
      <c r="H8" s="74">
        <f>IF(TBL_RH[[#This Row],[Salário]]&gt;=10000,TBL_RH[[#This Row],[Salário]]*5%,TBL_RH[[#This Row],[Salário]]*7.5%)</f>
        <v>135.9</v>
      </c>
    </row>
    <row r="9" spans="2:8" x14ac:dyDescent="0.2">
      <c r="B9" s="62">
        <v>1005</v>
      </c>
      <c r="C9" s="32" t="s">
        <v>98</v>
      </c>
      <c r="D9" s="32" t="s">
        <v>92</v>
      </c>
      <c r="E9" s="32" t="s">
        <v>93</v>
      </c>
      <c r="F9" s="64">
        <v>43105</v>
      </c>
      <c r="G9" s="74">
        <v>1955</v>
      </c>
      <c r="H9" s="74">
        <f>IF(TBL_RH[[#This Row],[Salário]]&gt;=10000,TBL_RH[[#This Row],[Salário]]*5%,TBL_RH[[#This Row],[Salário]]*7.5%)</f>
        <v>146.625</v>
      </c>
    </row>
    <row r="10" spans="2:8" x14ac:dyDescent="0.2">
      <c r="B10" s="62">
        <v>1006</v>
      </c>
      <c r="C10" s="32" t="s">
        <v>99</v>
      </c>
      <c r="D10" s="32" t="s">
        <v>92</v>
      </c>
      <c r="E10" s="32" t="s">
        <v>93</v>
      </c>
      <c r="F10" s="64">
        <v>43105</v>
      </c>
      <c r="G10" s="74">
        <v>2193</v>
      </c>
      <c r="H10" s="74">
        <f>IF(TBL_RH[[#This Row],[Salário]]&gt;=10000,TBL_RH[[#This Row],[Salário]]*5%,TBL_RH[[#This Row],[Salário]]*7.5%)</f>
        <v>164.47499999999999</v>
      </c>
    </row>
    <row r="11" spans="2:8" x14ac:dyDescent="0.2">
      <c r="B11" s="62">
        <v>1007</v>
      </c>
      <c r="C11" s="32" t="s">
        <v>100</v>
      </c>
      <c r="D11" s="32" t="s">
        <v>92</v>
      </c>
      <c r="E11" s="32" t="s">
        <v>93</v>
      </c>
      <c r="F11" s="64">
        <v>43105</v>
      </c>
      <c r="G11" s="74">
        <v>2192</v>
      </c>
      <c r="H11" s="74">
        <f>IF(TBL_RH[[#This Row],[Salário]]&gt;=10000,TBL_RH[[#This Row],[Salário]]*5%,TBL_RH[[#This Row],[Salário]]*7.5%)</f>
        <v>164.4</v>
      </c>
    </row>
    <row r="12" spans="2:8" x14ac:dyDescent="0.2">
      <c r="B12" s="62">
        <v>1008</v>
      </c>
      <c r="C12" s="32" t="s">
        <v>101</v>
      </c>
      <c r="D12" s="32" t="s">
        <v>92</v>
      </c>
      <c r="E12" s="32" t="s">
        <v>93</v>
      </c>
      <c r="F12" s="64">
        <v>43105</v>
      </c>
      <c r="G12" s="74">
        <v>1573</v>
      </c>
      <c r="H12" s="74">
        <f>IF(TBL_RH[[#This Row],[Salário]]&gt;=10000,TBL_RH[[#This Row],[Salário]]*5%,TBL_RH[[#This Row],[Salário]]*7.5%)</f>
        <v>117.97499999999999</v>
      </c>
    </row>
    <row r="13" spans="2:8" x14ac:dyDescent="0.2">
      <c r="B13" s="62">
        <v>1009</v>
      </c>
      <c r="C13" s="32" t="s">
        <v>102</v>
      </c>
      <c r="D13" s="32" t="s">
        <v>103</v>
      </c>
      <c r="E13" s="32" t="s">
        <v>104</v>
      </c>
      <c r="F13" s="64">
        <v>43105</v>
      </c>
      <c r="G13" s="74">
        <v>10744</v>
      </c>
      <c r="H13" s="74">
        <f>IF(TBL_RH[[#This Row],[Salário]]&gt;=10000,TBL_RH[[#This Row],[Salário]]*5%,TBL_RH[[#This Row],[Salário]]*7.5%)</f>
        <v>537.20000000000005</v>
      </c>
    </row>
    <row r="14" spans="2:8" x14ac:dyDescent="0.2">
      <c r="B14" s="62">
        <v>1010</v>
      </c>
      <c r="C14" s="32" t="s">
        <v>105</v>
      </c>
      <c r="D14" s="32" t="s">
        <v>92</v>
      </c>
      <c r="E14" s="32" t="s">
        <v>93</v>
      </c>
      <c r="F14" s="64">
        <v>43115</v>
      </c>
      <c r="G14" s="74">
        <v>1431</v>
      </c>
      <c r="H14" s="74">
        <f>IF(TBL_RH[[#This Row],[Salário]]&gt;=10000,TBL_RH[[#This Row],[Salário]]*5%,TBL_RH[[#This Row],[Salário]]*7.5%)</f>
        <v>107.325</v>
      </c>
    </row>
    <row r="15" spans="2:8" x14ac:dyDescent="0.2">
      <c r="B15" s="62">
        <v>1014</v>
      </c>
      <c r="C15" s="32" t="s">
        <v>106</v>
      </c>
      <c r="D15" s="32" t="s">
        <v>107</v>
      </c>
      <c r="E15" s="32" t="s">
        <v>108</v>
      </c>
      <c r="F15" s="64">
        <v>43115</v>
      </c>
      <c r="G15" s="74">
        <v>2279</v>
      </c>
      <c r="H15" s="74">
        <f>IF(TBL_RH[[#This Row],[Salário]]&gt;=10000,TBL_RH[[#This Row],[Salário]]*5%,TBL_RH[[#This Row],[Salário]]*7.5%)</f>
        <v>170.92499999999998</v>
      </c>
    </row>
    <row r="16" spans="2:8" x14ac:dyDescent="0.2">
      <c r="B16" s="62">
        <v>1015</v>
      </c>
      <c r="C16" s="32" t="s">
        <v>109</v>
      </c>
      <c r="D16" s="32" t="s">
        <v>107</v>
      </c>
      <c r="E16" s="32" t="s">
        <v>108</v>
      </c>
      <c r="F16" s="64">
        <v>43115</v>
      </c>
      <c r="G16" s="74">
        <v>2362</v>
      </c>
      <c r="H16" s="74">
        <f>IF(TBL_RH[[#This Row],[Salário]]&gt;=10000,TBL_RH[[#This Row],[Salário]]*5%,TBL_RH[[#This Row],[Salário]]*7.5%)</f>
        <v>177.15</v>
      </c>
    </row>
    <row r="17" spans="2:8" x14ac:dyDescent="0.2">
      <c r="B17" s="62">
        <v>1017</v>
      </c>
      <c r="C17" s="32" t="s">
        <v>110</v>
      </c>
      <c r="D17" s="32" t="s">
        <v>107</v>
      </c>
      <c r="E17" s="32" t="s">
        <v>108</v>
      </c>
      <c r="F17" s="64">
        <v>43115</v>
      </c>
      <c r="G17" s="74">
        <v>2340</v>
      </c>
      <c r="H17" s="74">
        <f>IF(TBL_RH[[#This Row],[Salário]]&gt;=10000,TBL_RH[[#This Row],[Salário]]*5%,TBL_RH[[#This Row],[Salário]]*7.5%)</f>
        <v>175.5</v>
      </c>
    </row>
    <row r="18" spans="2:8" x14ac:dyDescent="0.2">
      <c r="B18" s="62">
        <v>1022</v>
      </c>
      <c r="C18" s="32" t="s">
        <v>111</v>
      </c>
      <c r="D18" s="32" t="s">
        <v>112</v>
      </c>
      <c r="E18" s="32" t="s">
        <v>113</v>
      </c>
      <c r="F18" s="64">
        <v>43115</v>
      </c>
      <c r="G18" s="74">
        <v>2758</v>
      </c>
      <c r="H18" s="74">
        <f>IF(TBL_RH[[#This Row],[Salário]]&gt;=10000,TBL_RH[[#This Row],[Salário]]*5%,TBL_RH[[#This Row],[Salário]]*7.5%)</f>
        <v>206.85</v>
      </c>
    </row>
    <row r="19" spans="2:8" x14ac:dyDescent="0.2">
      <c r="B19" s="62">
        <v>1023</v>
      </c>
      <c r="C19" s="32" t="s">
        <v>114</v>
      </c>
      <c r="D19" s="32" t="s">
        <v>112</v>
      </c>
      <c r="E19" s="32" t="s">
        <v>115</v>
      </c>
      <c r="F19" s="64">
        <v>43115</v>
      </c>
      <c r="G19" s="74">
        <v>3904</v>
      </c>
      <c r="H19" s="74">
        <f>IF(TBL_RH[[#This Row],[Salário]]&gt;=10000,TBL_RH[[#This Row],[Salário]]*5%,TBL_RH[[#This Row],[Salário]]*7.5%)</f>
        <v>292.8</v>
      </c>
    </row>
    <row r="20" spans="2:8" x14ac:dyDescent="0.2">
      <c r="B20" s="62">
        <v>1024</v>
      </c>
      <c r="C20" s="32" t="s">
        <v>116</v>
      </c>
      <c r="D20" s="32" t="s">
        <v>112</v>
      </c>
      <c r="E20" s="32" t="s">
        <v>115</v>
      </c>
      <c r="F20" s="64">
        <v>43115</v>
      </c>
      <c r="G20" s="74">
        <v>4298</v>
      </c>
      <c r="H20" s="74">
        <f>IF(TBL_RH[[#This Row],[Salário]]&gt;=10000,TBL_RH[[#This Row],[Salário]]*5%,TBL_RH[[#This Row],[Salário]]*7.5%)</f>
        <v>322.34999999999997</v>
      </c>
    </row>
    <row r="21" spans="2:8" x14ac:dyDescent="0.2">
      <c r="B21" s="62">
        <v>1025</v>
      </c>
      <c r="C21" s="32" t="s">
        <v>117</v>
      </c>
      <c r="D21" s="32" t="s">
        <v>112</v>
      </c>
      <c r="E21" s="32" t="s">
        <v>113</v>
      </c>
      <c r="F21" s="64">
        <v>43621</v>
      </c>
      <c r="G21" s="74">
        <v>2802</v>
      </c>
      <c r="H21" s="74">
        <f>IF(TBL_RH[[#This Row],[Salário]]&gt;=10000,TBL_RH[[#This Row],[Salário]]*5%,TBL_RH[[#This Row],[Salário]]*7.5%)</f>
        <v>210.15</v>
      </c>
    </row>
    <row r="22" spans="2:8" x14ac:dyDescent="0.2">
      <c r="B22" s="62">
        <v>1028</v>
      </c>
      <c r="C22" s="32" t="s">
        <v>118</v>
      </c>
      <c r="D22" s="32" t="s">
        <v>112</v>
      </c>
      <c r="E22" s="32" t="s">
        <v>115</v>
      </c>
      <c r="F22" s="64">
        <v>43621</v>
      </c>
      <c r="G22" s="74">
        <v>3847</v>
      </c>
      <c r="H22" s="74">
        <f>IF(TBL_RH[[#This Row],[Salário]]&gt;=10000,TBL_RH[[#This Row],[Salário]]*5%,TBL_RH[[#This Row],[Salário]]*7.5%)</f>
        <v>288.52499999999998</v>
      </c>
    </row>
    <row r="23" spans="2:8" x14ac:dyDescent="0.2">
      <c r="B23" s="62">
        <v>1029</v>
      </c>
      <c r="C23" s="32" t="s">
        <v>119</v>
      </c>
      <c r="D23" s="32" t="s">
        <v>112</v>
      </c>
      <c r="E23" s="32" t="s">
        <v>113</v>
      </c>
      <c r="F23" s="64">
        <v>43621</v>
      </c>
      <c r="G23" s="74">
        <v>2590</v>
      </c>
      <c r="H23" s="74">
        <f>IF(TBL_RH[[#This Row],[Salário]]&gt;=10000,TBL_RH[[#This Row],[Salário]]*5%,TBL_RH[[#This Row],[Salário]]*7.5%)</f>
        <v>194.25</v>
      </c>
    </row>
    <row r="24" spans="2:8" x14ac:dyDescent="0.2">
      <c r="B24" s="62">
        <v>1030</v>
      </c>
      <c r="C24" s="32" t="s">
        <v>120</v>
      </c>
      <c r="D24" s="32" t="s">
        <v>112</v>
      </c>
      <c r="E24" s="32" t="s">
        <v>113</v>
      </c>
      <c r="F24" s="64">
        <v>43621</v>
      </c>
      <c r="G24" s="74">
        <v>2559</v>
      </c>
      <c r="H24" s="74">
        <f>IF(TBL_RH[[#This Row],[Salário]]&gt;=10000,TBL_RH[[#This Row],[Salário]]*5%,TBL_RH[[#This Row],[Salário]]*7.5%)</f>
        <v>191.92499999999998</v>
      </c>
    </row>
    <row r="25" spans="2:8" x14ac:dyDescent="0.2">
      <c r="B25" s="62">
        <v>1032</v>
      </c>
      <c r="C25" s="32" t="s">
        <v>121</v>
      </c>
      <c r="D25" s="32" t="s">
        <v>112</v>
      </c>
      <c r="E25" s="32" t="s">
        <v>115</v>
      </c>
      <c r="F25" s="64">
        <v>43621</v>
      </c>
      <c r="G25" s="74">
        <v>3661</v>
      </c>
      <c r="H25" s="74">
        <f>IF(TBL_RH[[#This Row],[Salário]]&gt;=10000,TBL_RH[[#This Row],[Salário]]*5%,TBL_RH[[#This Row],[Salário]]*7.5%)</f>
        <v>274.57499999999999</v>
      </c>
    </row>
    <row r="26" spans="2:8" x14ac:dyDescent="0.2">
      <c r="B26" s="62">
        <v>1033</v>
      </c>
      <c r="C26" s="32" t="s">
        <v>122</v>
      </c>
      <c r="D26" s="32" t="s">
        <v>112</v>
      </c>
      <c r="E26" s="32" t="s">
        <v>113</v>
      </c>
      <c r="F26" s="64">
        <v>43621</v>
      </c>
      <c r="G26" s="74">
        <v>2668</v>
      </c>
      <c r="H26" s="74">
        <f>IF(TBL_RH[[#This Row],[Salário]]&gt;=10000,TBL_RH[[#This Row],[Salário]]*5%,TBL_RH[[#This Row],[Salário]]*7.5%)</f>
        <v>200.1</v>
      </c>
    </row>
    <row r="27" spans="2:8" x14ac:dyDescent="0.2">
      <c r="B27" s="62">
        <v>1034</v>
      </c>
      <c r="C27" s="32" t="s">
        <v>123</v>
      </c>
      <c r="D27" s="32" t="s">
        <v>112</v>
      </c>
      <c r="E27" s="32" t="s">
        <v>115</v>
      </c>
      <c r="F27" s="64">
        <v>43621</v>
      </c>
      <c r="G27" s="74">
        <v>4438</v>
      </c>
      <c r="H27" s="74">
        <f>IF(TBL_RH[[#This Row],[Salário]]&gt;=10000,TBL_RH[[#This Row],[Salário]]*5%,TBL_RH[[#This Row],[Salário]]*7.5%)</f>
        <v>332.84999999999997</v>
      </c>
    </row>
    <row r="28" spans="2:8" x14ac:dyDescent="0.2">
      <c r="B28" s="62">
        <v>1035</v>
      </c>
      <c r="C28" s="32" t="s">
        <v>100</v>
      </c>
      <c r="D28" s="32" t="s">
        <v>112</v>
      </c>
      <c r="E28" s="32" t="s">
        <v>115</v>
      </c>
      <c r="F28" s="64">
        <v>43621</v>
      </c>
      <c r="G28" s="74">
        <v>4439</v>
      </c>
      <c r="H28" s="74">
        <f>IF(TBL_RH[[#This Row],[Salário]]&gt;=10000,TBL_RH[[#This Row],[Salário]]*5%,TBL_RH[[#This Row],[Salário]]*7.5%)</f>
        <v>332.92500000000001</v>
      </c>
    </row>
    <row r="29" spans="2:8" x14ac:dyDescent="0.2">
      <c r="B29" s="62">
        <v>1040</v>
      </c>
      <c r="C29" s="32" t="s">
        <v>124</v>
      </c>
      <c r="D29" s="32" t="s">
        <v>125</v>
      </c>
      <c r="E29" s="32" t="s">
        <v>126</v>
      </c>
      <c r="F29" s="64">
        <v>43621</v>
      </c>
      <c r="G29" s="74">
        <v>2064</v>
      </c>
      <c r="H29" s="74">
        <f>IF(TBL_RH[[#This Row],[Salário]]&gt;=10000,TBL_RH[[#This Row],[Salário]]*5%,TBL_RH[[#This Row],[Salário]]*7.5%)</f>
        <v>154.79999999999998</v>
      </c>
    </row>
    <row r="30" spans="2:8" x14ac:dyDescent="0.2">
      <c r="B30" s="62">
        <v>1041</v>
      </c>
      <c r="C30" s="32" t="s">
        <v>127</v>
      </c>
      <c r="D30" s="32" t="s">
        <v>92</v>
      </c>
      <c r="E30" s="32" t="s">
        <v>93</v>
      </c>
      <c r="F30" s="64">
        <v>43621</v>
      </c>
      <c r="G30" s="74">
        <v>1714</v>
      </c>
      <c r="H30" s="74">
        <f>IF(TBL_RH[[#This Row],[Salário]]&gt;=10000,TBL_RH[[#This Row],[Salário]]*5%,TBL_RH[[#This Row],[Salário]]*7.5%)</f>
        <v>128.54999999999998</v>
      </c>
    </row>
    <row r="31" spans="2:8" x14ac:dyDescent="0.2">
      <c r="B31" s="62">
        <v>1042</v>
      </c>
      <c r="C31" s="32" t="s">
        <v>128</v>
      </c>
      <c r="D31" s="32" t="s">
        <v>129</v>
      </c>
      <c r="E31" s="32" t="s">
        <v>130</v>
      </c>
      <c r="F31" s="64">
        <v>43631</v>
      </c>
      <c r="G31" s="74">
        <v>10675</v>
      </c>
      <c r="H31" s="74">
        <f>IF(TBL_RH[[#This Row],[Salário]]&gt;=10000,TBL_RH[[#This Row],[Salário]]*5%,TBL_RH[[#This Row],[Salário]]*7.5%)</f>
        <v>533.75</v>
      </c>
    </row>
    <row r="32" spans="2:8" x14ac:dyDescent="0.2">
      <c r="B32" s="62">
        <v>1046</v>
      </c>
      <c r="C32" s="32" t="s">
        <v>131</v>
      </c>
      <c r="D32" s="32" t="s">
        <v>125</v>
      </c>
      <c r="E32" s="32" t="s">
        <v>126</v>
      </c>
      <c r="F32" s="64">
        <v>43631</v>
      </c>
      <c r="G32" s="74">
        <v>2161</v>
      </c>
      <c r="H32" s="74">
        <f>IF(TBL_RH[[#This Row],[Salário]]&gt;=10000,TBL_RH[[#This Row],[Salário]]*5%,TBL_RH[[#This Row],[Salário]]*7.5%)</f>
        <v>162.07499999999999</v>
      </c>
    </row>
    <row r="33" spans="2:8" x14ac:dyDescent="0.2">
      <c r="B33" s="62">
        <v>1054</v>
      </c>
      <c r="C33" s="32" t="s">
        <v>132</v>
      </c>
      <c r="D33" s="32" t="s">
        <v>92</v>
      </c>
      <c r="E33" s="32" t="s">
        <v>93</v>
      </c>
      <c r="F33" s="64">
        <v>43631</v>
      </c>
      <c r="G33" s="74">
        <v>1714</v>
      </c>
      <c r="H33" s="74">
        <f>IF(TBL_RH[[#This Row],[Salário]]&gt;=10000,TBL_RH[[#This Row],[Salário]]*5%,TBL_RH[[#This Row],[Salário]]*7.5%)</f>
        <v>128.54999999999998</v>
      </c>
    </row>
    <row r="34" spans="2:8" x14ac:dyDescent="0.2">
      <c r="B34" s="62">
        <v>1055</v>
      </c>
      <c r="C34" s="32" t="s">
        <v>133</v>
      </c>
      <c r="D34" s="32" t="s">
        <v>92</v>
      </c>
      <c r="E34" s="32" t="s">
        <v>93</v>
      </c>
      <c r="F34" s="64">
        <v>43631</v>
      </c>
      <c r="G34" s="74">
        <v>1504</v>
      </c>
      <c r="H34" s="74">
        <f>IF(TBL_RH[[#This Row],[Salário]]&gt;=10000,TBL_RH[[#This Row],[Salário]]*5%,TBL_RH[[#This Row],[Salário]]*7.5%)</f>
        <v>112.8</v>
      </c>
    </row>
    <row r="35" spans="2:8" x14ac:dyDescent="0.2">
      <c r="B35" s="62">
        <v>1056</v>
      </c>
      <c r="C35" s="32" t="s">
        <v>134</v>
      </c>
      <c r="D35" s="32" t="s">
        <v>129</v>
      </c>
      <c r="E35" s="32" t="s">
        <v>130</v>
      </c>
      <c r="F35" s="64">
        <v>43631</v>
      </c>
      <c r="G35" s="74">
        <v>10591</v>
      </c>
      <c r="H35" s="74">
        <f>IF(TBL_RH[[#This Row],[Salário]]&gt;=10000,TBL_RH[[#This Row],[Salário]]*5%,TBL_RH[[#This Row],[Salário]]*7.5%)</f>
        <v>529.55000000000007</v>
      </c>
    </row>
    <row r="36" spans="2:8" x14ac:dyDescent="0.2">
      <c r="B36" s="62">
        <v>1059</v>
      </c>
      <c r="C36" s="32" t="s">
        <v>135</v>
      </c>
      <c r="D36" s="32" t="s">
        <v>125</v>
      </c>
      <c r="E36" s="32" t="s">
        <v>126</v>
      </c>
      <c r="F36" s="64">
        <v>43631</v>
      </c>
      <c r="G36" s="74">
        <v>2276</v>
      </c>
      <c r="H36" s="74">
        <f>IF(TBL_RH[[#This Row],[Salário]]&gt;=10000,TBL_RH[[#This Row],[Salário]]*5%,TBL_RH[[#This Row],[Salário]]*7.5%)</f>
        <v>170.7</v>
      </c>
    </row>
    <row r="37" spans="2:8" x14ac:dyDescent="0.2">
      <c r="B37" s="62">
        <v>1066</v>
      </c>
      <c r="C37" s="32" t="s">
        <v>99</v>
      </c>
      <c r="D37" s="32" t="s">
        <v>125</v>
      </c>
      <c r="E37" s="32" t="s">
        <v>126</v>
      </c>
      <c r="F37" s="64">
        <v>43631</v>
      </c>
      <c r="G37" s="74">
        <v>2025</v>
      </c>
      <c r="H37" s="74">
        <f>IF(TBL_RH[[#This Row],[Salário]]&gt;=10000,TBL_RH[[#This Row],[Salário]]*5%,TBL_RH[[#This Row],[Salário]]*7.5%)</f>
        <v>151.875</v>
      </c>
    </row>
    <row r="38" spans="2:8" x14ac:dyDescent="0.2">
      <c r="B38" s="62">
        <v>1075</v>
      </c>
      <c r="C38" s="32" t="s">
        <v>136</v>
      </c>
      <c r="D38" s="32" t="s">
        <v>129</v>
      </c>
      <c r="E38" s="32" t="s">
        <v>130</v>
      </c>
      <c r="F38" s="64">
        <v>43631</v>
      </c>
      <c r="G38" s="74">
        <v>11723</v>
      </c>
      <c r="H38" s="74">
        <f>IF(TBL_RH[[#This Row],[Salário]]&gt;=10000,TBL_RH[[#This Row],[Salário]]*5%,TBL_RH[[#This Row],[Salário]]*7.5%)</f>
        <v>586.15</v>
      </c>
    </row>
    <row r="39" spans="2:8" x14ac:dyDescent="0.2">
      <c r="B39" s="62">
        <v>1077</v>
      </c>
      <c r="C39" s="32" t="s">
        <v>137</v>
      </c>
      <c r="D39" s="32" t="s">
        <v>103</v>
      </c>
      <c r="E39" s="32" t="s">
        <v>138</v>
      </c>
      <c r="F39" s="64">
        <v>43835</v>
      </c>
      <c r="G39" s="74">
        <v>3937</v>
      </c>
      <c r="H39" s="74">
        <f>IF(TBL_RH[[#This Row],[Salário]]&gt;=10000,TBL_RH[[#This Row],[Salário]]*5%,TBL_RH[[#This Row],[Salário]]*7.5%)</f>
        <v>295.27499999999998</v>
      </c>
    </row>
    <row r="40" spans="2:8" x14ac:dyDescent="0.2">
      <c r="B40" s="62">
        <v>1079</v>
      </c>
      <c r="C40" s="32" t="s">
        <v>139</v>
      </c>
      <c r="D40" s="32" t="s">
        <v>103</v>
      </c>
      <c r="E40" s="32" t="s">
        <v>138</v>
      </c>
      <c r="F40" s="64">
        <v>43835</v>
      </c>
      <c r="G40" s="74">
        <v>5194</v>
      </c>
      <c r="H40" s="74">
        <f>IF(TBL_RH[[#This Row],[Salário]]&gt;=10000,TBL_RH[[#This Row],[Salário]]*5%,TBL_RH[[#This Row],[Salário]]*7.5%)</f>
        <v>389.55</v>
      </c>
    </row>
    <row r="41" spans="2:8" x14ac:dyDescent="0.2">
      <c r="B41" s="62">
        <v>1081</v>
      </c>
      <c r="C41" s="32" t="s">
        <v>140</v>
      </c>
      <c r="D41" s="32" t="s">
        <v>103</v>
      </c>
      <c r="E41" s="32" t="s">
        <v>138</v>
      </c>
      <c r="F41" s="64">
        <v>43835</v>
      </c>
      <c r="G41" s="74">
        <v>3902</v>
      </c>
      <c r="H41" s="74">
        <f>IF(TBL_RH[[#This Row],[Salário]]&gt;=10000,TBL_RH[[#This Row],[Salário]]*5%,TBL_RH[[#This Row],[Salário]]*7.5%)</f>
        <v>292.64999999999998</v>
      </c>
    </row>
    <row r="42" spans="2:8" x14ac:dyDescent="0.2">
      <c r="B42" s="62">
        <v>1083</v>
      </c>
      <c r="C42" s="32" t="s">
        <v>141</v>
      </c>
      <c r="D42" s="32" t="s">
        <v>92</v>
      </c>
      <c r="E42" s="32" t="s">
        <v>93</v>
      </c>
      <c r="F42" s="64">
        <v>43835</v>
      </c>
      <c r="G42" s="74">
        <v>1624</v>
      </c>
      <c r="H42" s="74">
        <f>IF(TBL_RH[[#This Row],[Salário]]&gt;=10000,TBL_RH[[#This Row],[Salário]]*5%,TBL_RH[[#This Row],[Salário]]*7.5%)</f>
        <v>121.8</v>
      </c>
    </row>
    <row r="43" spans="2:8" x14ac:dyDescent="0.2">
      <c r="B43" s="62">
        <v>1087</v>
      </c>
      <c r="C43" s="32" t="s">
        <v>142</v>
      </c>
      <c r="D43" s="32" t="s">
        <v>92</v>
      </c>
      <c r="E43" s="32" t="s">
        <v>93</v>
      </c>
      <c r="F43" s="64">
        <v>43835</v>
      </c>
      <c r="G43" s="74">
        <v>1627</v>
      </c>
      <c r="H43" s="74">
        <f>IF(TBL_RH[[#This Row],[Salário]]&gt;=10000,TBL_RH[[#This Row],[Salário]]*5%,TBL_RH[[#This Row],[Salário]]*7.5%)</f>
        <v>122.02499999999999</v>
      </c>
    </row>
    <row r="44" spans="2:8" x14ac:dyDescent="0.2">
      <c r="B44" s="62">
        <v>1088</v>
      </c>
      <c r="C44" s="32" t="s">
        <v>143</v>
      </c>
      <c r="D44" s="32" t="s">
        <v>92</v>
      </c>
      <c r="E44" s="32" t="s">
        <v>93</v>
      </c>
      <c r="F44" s="64">
        <v>43835</v>
      </c>
      <c r="G44" s="74">
        <v>1541</v>
      </c>
      <c r="H44" s="74">
        <f>IF(TBL_RH[[#This Row],[Salário]]&gt;=10000,TBL_RH[[#This Row],[Salário]]*5%,TBL_RH[[#This Row],[Salário]]*7.5%)</f>
        <v>115.57499999999999</v>
      </c>
    </row>
    <row r="45" spans="2:8" x14ac:dyDescent="0.2">
      <c r="B45" s="62">
        <v>1100</v>
      </c>
      <c r="C45" s="32" t="s">
        <v>148</v>
      </c>
      <c r="D45" s="32" t="s">
        <v>103</v>
      </c>
      <c r="E45" s="32" t="s">
        <v>138</v>
      </c>
      <c r="F45" s="64">
        <v>43905</v>
      </c>
      <c r="G45" s="74">
        <v>5810</v>
      </c>
      <c r="H45" s="74">
        <f>IF(TBL_RH[[#This Row],[Salário]]&gt;=10000,TBL_RH[[#This Row],[Salário]]*5%,TBL_RH[[#This Row],[Salário]]*7.5%)</f>
        <v>435.75</v>
      </c>
    </row>
    <row r="46" spans="2:8" x14ac:dyDescent="0.2">
      <c r="B46" s="62">
        <v>1092</v>
      </c>
      <c r="C46" s="32" t="s">
        <v>144</v>
      </c>
      <c r="D46" s="32" t="s">
        <v>92</v>
      </c>
      <c r="E46" s="32" t="s">
        <v>93</v>
      </c>
      <c r="F46" s="64">
        <v>43905</v>
      </c>
      <c r="G46" s="74">
        <v>1887</v>
      </c>
      <c r="H46" s="74">
        <f>IF(TBL_RH[[#This Row],[Salário]]&gt;=10000,TBL_RH[[#This Row],[Salário]]*5%,TBL_RH[[#This Row],[Salário]]*7.5%)</f>
        <v>141.52500000000001</v>
      </c>
    </row>
    <row r="47" spans="2:8" x14ac:dyDescent="0.2">
      <c r="B47" s="62">
        <v>1094</v>
      </c>
      <c r="C47" s="32" t="s">
        <v>145</v>
      </c>
      <c r="D47" s="32" t="s">
        <v>103</v>
      </c>
      <c r="E47" s="32" t="s">
        <v>104</v>
      </c>
      <c r="F47" s="64">
        <v>43905</v>
      </c>
      <c r="G47" s="74">
        <v>10686</v>
      </c>
      <c r="H47" s="74">
        <f>IF(TBL_RH[[#This Row],[Salário]]&gt;=10000,TBL_RH[[#This Row],[Salário]]*5%,TBL_RH[[#This Row],[Salário]]*7.5%)</f>
        <v>534.30000000000007</v>
      </c>
    </row>
    <row r="48" spans="2:8" x14ac:dyDescent="0.2">
      <c r="B48" s="62">
        <v>1095</v>
      </c>
      <c r="C48" s="32" t="s">
        <v>146</v>
      </c>
      <c r="D48" s="32" t="s">
        <v>103</v>
      </c>
      <c r="E48" s="32" t="s">
        <v>138</v>
      </c>
      <c r="F48" s="64">
        <v>43905</v>
      </c>
      <c r="G48" s="74">
        <v>3860</v>
      </c>
      <c r="H48" s="74">
        <f>IF(TBL_RH[[#This Row],[Salário]]&gt;=10000,TBL_RH[[#This Row],[Salário]]*5%,TBL_RH[[#This Row],[Salário]]*7.5%)</f>
        <v>289.5</v>
      </c>
    </row>
    <row r="49" spans="2:8" x14ac:dyDescent="0.2">
      <c r="B49" s="62">
        <v>1091</v>
      </c>
      <c r="C49" s="32" t="s">
        <v>99</v>
      </c>
      <c r="D49" s="32" t="s">
        <v>103</v>
      </c>
      <c r="E49" s="32" t="s">
        <v>104</v>
      </c>
      <c r="F49" s="64">
        <v>43835</v>
      </c>
      <c r="G49" s="74">
        <v>12137</v>
      </c>
      <c r="H49" s="74">
        <f>IF(TBL_RH[[#This Row],[Salário]]&gt;=10000,TBL_RH[[#This Row],[Salário]]*5%,TBL_RH[[#This Row],[Salário]]*7.5%)</f>
        <v>606.85</v>
      </c>
    </row>
    <row r="50" spans="2:8" x14ac:dyDescent="0.2">
      <c r="B50" s="62">
        <v>1097</v>
      </c>
      <c r="C50" s="32" t="s">
        <v>117</v>
      </c>
      <c r="D50" s="32" t="s">
        <v>103</v>
      </c>
      <c r="E50" s="32" t="s">
        <v>104</v>
      </c>
      <c r="F50" s="64">
        <v>43905</v>
      </c>
      <c r="G50" s="74">
        <v>12726</v>
      </c>
      <c r="H50" s="74">
        <f>IF(TBL_RH[[#This Row],[Salário]]&gt;=10000,TBL_RH[[#This Row],[Salário]]*5%,TBL_RH[[#This Row],[Salário]]*7.5%)</f>
        <v>636.30000000000007</v>
      </c>
    </row>
    <row r="51" spans="2:8" x14ac:dyDescent="0.2">
      <c r="B51" s="62">
        <v>1099</v>
      </c>
      <c r="C51" s="32" t="s">
        <v>147</v>
      </c>
      <c r="D51" s="32" t="s">
        <v>103</v>
      </c>
      <c r="E51" s="32" t="s">
        <v>104</v>
      </c>
      <c r="F51" s="64">
        <v>43905</v>
      </c>
      <c r="G51" s="74">
        <v>14559</v>
      </c>
      <c r="H51" s="74">
        <f>IF(TBL_RH[[#This Row],[Salário]]&gt;=10000,TBL_RH[[#This Row],[Salário]]*5%,TBL_RH[[#This Row],[Salário]]*7.5%)</f>
        <v>727.95</v>
      </c>
    </row>
    <row r="52" spans="2:8" x14ac:dyDescent="0.2">
      <c r="B52" s="62">
        <v>1101</v>
      </c>
      <c r="C52" s="32" t="s">
        <v>149</v>
      </c>
      <c r="D52" s="32" t="s">
        <v>103</v>
      </c>
      <c r="E52" s="32" t="s">
        <v>138</v>
      </c>
      <c r="F52" s="64">
        <v>43905</v>
      </c>
      <c r="G52" s="74">
        <v>4735</v>
      </c>
      <c r="H52" s="74">
        <f>IF(TBL_RH[[#This Row],[Salário]]&gt;=10000,TBL_RH[[#This Row],[Salário]]*5%,TBL_RH[[#This Row],[Salário]]*7.5%)</f>
        <v>355.125</v>
      </c>
    </row>
    <row r="53" spans="2:8" x14ac:dyDescent="0.2">
      <c r="B53" s="62">
        <v>1102</v>
      </c>
      <c r="C53" s="32" t="s">
        <v>150</v>
      </c>
      <c r="D53" s="32" t="s">
        <v>103</v>
      </c>
      <c r="E53" s="32" t="s">
        <v>138</v>
      </c>
      <c r="F53" s="64">
        <v>43905</v>
      </c>
      <c r="G53" s="74">
        <v>3323</v>
      </c>
      <c r="H53" s="74">
        <f>IF(TBL_RH[[#This Row],[Salário]]&gt;=10000,TBL_RH[[#This Row],[Salário]]*5%,TBL_RH[[#This Row],[Salário]]*7.5%)</f>
        <v>249.22499999999999</v>
      </c>
    </row>
    <row r="54" spans="2:8" x14ac:dyDescent="0.2">
      <c r="B54" s="62">
        <v>1114</v>
      </c>
      <c r="C54" s="32" t="s">
        <v>151</v>
      </c>
      <c r="D54" s="32" t="s">
        <v>42</v>
      </c>
      <c r="E54" s="32" t="s">
        <v>152</v>
      </c>
      <c r="F54" s="64">
        <v>43905</v>
      </c>
      <c r="G54" s="74">
        <v>2540</v>
      </c>
      <c r="H54" s="74">
        <f>IF(TBL_RH[[#This Row],[Salário]]&gt;=10000,TBL_RH[[#This Row],[Salário]]*5%,TBL_RH[[#This Row],[Salário]]*7.5%)</f>
        <v>190.5</v>
      </c>
    </row>
    <row r="55" spans="2:8" ht="15" x14ac:dyDescent="0.25">
      <c r="B55"/>
      <c r="C55"/>
      <c r="D55"/>
      <c r="E55"/>
      <c r="F55"/>
      <c r="G55"/>
      <c r="H55"/>
    </row>
    <row r="56" spans="2:8" ht="15" x14ac:dyDescent="0.25">
      <c r="B56"/>
      <c r="C56"/>
      <c r="D56"/>
      <c r="E56"/>
      <c r="F56"/>
      <c r="G56"/>
      <c r="H56"/>
    </row>
    <row r="57" spans="2:8" ht="15" x14ac:dyDescent="0.25">
      <c r="B57"/>
      <c r="C57"/>
      <c r="D57"/>
      <c r="E57"/>
      <c r="F57"/>
      <c r="G57"/>
      <c r="H5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S22"/>
  <sheetViews>
    <sheetView showGridLines="0" topLeftCell="A4" workbookViewId="0">
      <selection activeCell="F14" sqref="B5:H20"/>
    </sheetView>
  </sheetViews>
  <sheetFormatPr defaultRowHeight="15" x14ac:dyDescent="0.25"/>
  <cols>
    <col min="1" max="1" width="3.7109375" customWidth="1"/>
    <col min="2" max="2" width="5.85546875" bestFit="1" customWidth="1"/>
    <col min="3" max="3" width="5.5703125" customWidth="1"/>
    <col min="4" max="4" width="10.28515625" bestFit="1" customWidth="1"/>
    <col min="8" max="8" width="13.140625" bestFit="1" customWidth="1"/>
    <col min="9" max="9" width="8" customWidth="1"/>
    <col min="10" max="10" width="15.140625" customWidth="1"/>
    <col min="11" max="11" width="5" customWidth="1"/>
  </cols>
  <sheetData>
    <row r="4" spans="2:19" ht="18" customHeight="1" x14ac:dyDescent="0.25"/>
    <row r="5" spans="2:19" s="32" customFormat="1" x14ac:dyDescent="0.25">
      <c r="B5" s="7" t="s">
        <v>64</v>
      </c>
      <c r="C5" s="7" t="s">
        <v>153</v>
      </c>
      <c r="D5" s="7" t="s">
        <v>154</v>
      </c>
      <c r="E5" s="7" t="s">
        <v>155</v>
      </c>
      <c r="F5" s="7" t="s">
        <v>156</v>
      </c>
      <c r="G5" s="7" t="s">
        <v>157</v>
      </c>
      <c r="H5" s="7" t="s">
        <v>158</v>
      </c>
      <c r="J5" s="75" t="s">
        <v>159</v>
      </c>
      <c r="K5"/>
    </row>
    <row r="6" spans="2:19" s="32" customFormat="1" x14ac:dyDescent="0.25">
      <c r="B6" s="16" t="s">
        <v>166</v>
      </c>
      <c r="C6" s="80">
        <f>G6</f>
        <v>400</v>
      </c>
      <c r="D6" s="16" t="s">
        <v>162</v>
      </c>
      <c r="E6" s="76">
        <v>500</v>
      </c>
      <c r="F6" s="76">
        <v>100</v>
      </c>
      <c r="G6" s="76">
        <f>E6-F6</f>
        <v>400</v>
      </c>
      <c r="H6" s="13" t="str">
        <f>IF(G6&gt;3000,$J$5,IF(G6&lt;=0,$J$7,$J$6))</f>
        <v>ANÁLISE</v>
      </c>
      <c r="J6" s="75" t="s">
        <v>161</v>
      </c>
      <c r="K6"/>
    </row>
    <row r="7" spans="2:19" s="32" customFormat="1" x14ac:dyDescent="0.25">
      <c r="B7" s="16" t="s">
        <v>172</v>
      </c>
      <c r="C7" s="80">
        <f>G7</f>
        <v>569.22</v>
      </c>
      <c r="D7" s="16" t="s">
        <v>160</v>
      </c>
      <c r="E7" s="76">
        <v>569.22</v>
      </c>
      <c r="F7" s="76"/>
      <c r="G7" s="76">
        <f>E7-F7</f>
        <v>569.22</v>
      </c>
      <c r="H7" s="13" t="str">
        <f>IF(G7&gt;3000,$J$5,IF(G7&lt;=0,$J$7,$J$6))</f>
        <v>ANÁLISE</v>
      </c>
      <c r="J7" s="75" t="s">
        <v>163</v>
      </c>
      <c r="K7"/>
    </row>
    <row r="8" spans="2:19" s="32" customFormat="1" x14ac:dyDescent="0.25">
      <c r="B8" s="16" t="s">
        <v>180</v>
      </c>
      <c r="C8" s="80">
        <f>G8</f>
        <v>-351.78999999999996</v>
      </c>
      <c r="D8" s="16" t="s">
        <v>160</v>
      </c>
      <c r="E8" s="76">
        <v>648.21</v>
      </c>
      <c r="F8" s="76">
        <v>1000</v>
      </c>
      <c r="G8" s="76">
        <f>E8-F8</f>
        <v>-351.78999999999996</v>
      </c>
      <c r="H8" s="13" t="str">
        <f>IF(G8&gt;3000,$J$5,IF(G8&lt;=0,$J$7,$J$6))</f>
        <v>NÃO APROVADO</v>
      </c>
      <c r="K8"/>
    </row>
    <row r="9" spans="2:19" s="32" customFormat="1" x14ac:dyDescent="0.25">
      <c r="B9" s="16" t="s">
        <v>13</v>
      </c>
      <c r="C9" s="80">
        <f>G9</f>
        <v>-50</v>
      </c>
      <c r="D9" s="16" t="s">
        <v>164</v>
      </c>
      <c r="E9" s="76">
        <v>650</v>
      </c>
      <c r="F9" s="76">
        <v>700</v>
      </c>
      <c r="G9" s="76">
        <f>E9-F9</f>
        <v>-50</v>
      </c>
      <c r="H9" s="13" t="str">
        <f>IF(G9&gt;3000,$J$5,IF(G9&lt;=0,$J$7,$J$6))</f>
        <v>NÃO APROVADO</v>
      </c>
      <c r="J9" s="6" t="s">
        <v>19</v>
      </c>
      <c r="K9" s="6"/>
      <c r="L9" s="6"/>
      <c r="M9" s="6"/>
      <c r="N9" s="6"/>
      <c r="O9" s="6"/>
      <c r="P9" s="6"/>
      <c r="Q9" s="6"/>
      <c r="R9" s="6"/>
      <c r="S9" s="15"/>
    </row>
    <row r="10" spans="2:19" s="32" customFormat="1" ht="12.75" x14ac:dyDescent="0.2">
      <c r="B10" s="16" t="s">
        <v>178</v>
      </c>
      <c r="C10" s="80">
        <f>G10</f>
        <v>964.33</v>
      </c>
      <c r="D10" s="16" t="s">
        <v>162</v>
      </c>
      <c r="E10" s="76">
        <v>964.33</v>
      </c>
      <c r="F10" s="76"/>
      <c r="G10" s="76">
        <f>E10-F10</f>
        <v>964.33</v>
      </c>
      <c r="H10" s="13" t="str">
        <f>IF(G10&gt;3000,$J$5,IF(G10&lt;=0,$J$7,$J$6))</f>
        <v>ANÁLISE</v>
      </c>
      <c r="J10" s="48" t="s">
        <v>165</v>
      </c>
    </row>
    <row r="11" spans="2:19" s="32" customFormat="1" ht="12.75" x14ac:dyDescent="0.2">
      <c r="B11" s="16" t="s">
        <v>14</v>
      </c>
      <c r="C11" s="80">
        <f>G11</f>
        <v>85.230000000000018</v>
      </c>
      <c r="D11" s="16" t="s">
        <v>160</v>
      </c>
      <c r="E11" s="76">
        <v>985.23</v>
      </c>
      <c r="F11" s="76">
        <v>900</v>
      </c>
      <c r="G11" s="76">
        <f>E11-F11</f>
        <v>85.230000000000018</v>
      </c>
      <c r="H11" s="13" t="str">
        <f>IF(G11&gt;3000,$J$5,IF(G11&lt;=0,$J$7,$J$6))</f>
        <v>ANÁLISE</v>
      </c>
      <c r="J11" s="48" t="s">
        <v>167</v>
      </c>
    </row>
    <row r="12" spans="2:19" s="32" customFormat="1" ht="12.75" x14ac:dyDescent="0.2">
      <c r="B12" s="16" t="s">
        <v>170</v>
      </c>
      <c r="C12" s="80">
        <f>G12</f>
        <v>0</v>
      </c>
      <c r="D12" s="16" t="s">
        <v>162</v>
      </c>
      <c r="E12" s="76">
        <v>987.21</v>
      </c>
      <c r="F12" s="76">
        <v>987.21</v>
      </c>
      <c r="G12" s="76">
        <f>E12-F12</f>
        <v>0</v>
      </c>
      <c r="H12" s="13" t="str">
        <f>IF(G12&gt;3000,$J$5,IF(G12&lt;=0,$J$7,$J$6))</f>
        <v>NÃO APROVADO</v>
      </c>
      <c r="J12" s="48" t="s">
        <v>169</v>
      </c>
    </row>
    <row r="13" spans="2:19" s="32" customFormat="1" ht="12.75" x14ac:dyDescent="0.2">
      <c r="B13" s="16" t="s">
        <v>176</v>
      </c>
      <c r="C13" s="80">
        <f>G13</f>
        <v>987.36</v>
      </c>
      <c r="D13" s="16" t="s">
        <v>164</v>
      </c>
      <c r="E13" s="76">
        <v>987.36</v>
      </c>
      <c r="F13" s="76"/>
      <c r="G13" s="76">
        <f>E13-F13</f>
        <v>987.36</v>
      </c>
      <c r="H13" s="13" t="str">
        <f>IF(G13&gt;3000,$J$5,IF(G13&lt;=0,$J$7,$J$6))</f>
        <v>ANÁLISE</v>
      </c>
      <c r="J13" s="48" t="s">
        <v>171</v>
      </c>
    </row>
    <row r="14" spans="2:19" s="32" customFormat="1" ht="12.75" x14ac:dyDescent="0.2">
      <c r="B14" s="16" t="s">
        <v>11</v>
      </c>
      <c r="C14" s="80">
        <f>G14</f>
        <v>-200</v>
      </c>
      <c r="D14" s="16" t="s">
        <v>160</v>
      </c>
      <c r="E14" s="76">
        <v>1800</v>
      </c>
      <c r="F14" s="76">
        <v>2000</v>
      </c>
      <c r="G14" s="76">
        <f>E14-F14</f>
        <v>-200</v>
      </c>
      <c r="H14" s="13" t="str">
        <f>IF(G14&gt;3000,$J$5,IF(G14&lt;=0,$J$7,$J$6))</f>
        <v>NÃO APROVADO</v>
      </c>
      <c r="J14" s="48" t="s">
        <v>173</v>
      </c>
    </row>
    <row r="15" spans="2:19" s="32" customFormat="1" ht="12.75" x14ac:dyDescent="0.2">
      <c r="B15" s="16" t="s">
        <v>15</v>
      </c>
      <c r="C15" s="80">
        <f>G15</f>
        <v>-3210.64</v>
      </c>
      <c r="D15" s="16" t="s">
        <v>162</v>
      </c>
      <c r="E15" s="76">
        <v>2189.36</v>
      </c>
      <c r="F15" s="76">
        <v>5400</v>
      </c>
      <c r="G15" s="76">
        <f>E15-F15</f>
        <v>-3210.64</v>
      </c>
      <c r="H15" s="13" t="str">
        <f>IF(G15&gt;3000,$J$5,IF(G15&lt;=0,$J$7,$J$6))</f>
        <v>NÃO APROVADO</v>
      </c>
      <c r="J15" s="48" t="s">
        <v>175</v>
      </c>
    </row>
    <row r="16" spans="2:19" s="32" customFormat="1" ht="12.75" x14ac:dyDescent="0.2">
      <c r="B16" s="16" t="s">
        <v>12</v>
      </c>
      <c r="C16" s="80">
        <f>G16</f>
        <v>2200</v>
      </c>
      <c r="D16" s="16" t="s">
        <v>162</v>
      </c>
      <c r="E16" s="76">
        <v>3200</v>
      </c>
      <c r="F16" s="76">
        <v>1000</v>
      </c>
      <c r="G16" s="76">
        <f>E16-F16</f>
        <v>2200</v>
      </c>
      <c r="H16" s="13" t="str">
        <f>IF(G16&gt;3000,$J$5,IF(G16&lt;=0,$J$7,$J$6))</f>
        <v>ANÁLISE</v>
      </c>
    </row>
    <row r="17" spans="2:18" s="32" customFormat="1" ht="12.75" x14ac:dyDescent="0.2">
      <c r="B17" s="16" t="s">
        <v>174</v>
      </c>
      <c r="C17" s="80">
        <f>G17</f>
        <v>4210</v>
      </c>
      <c r="D17" s="16" t="s">
        <v>162</v>
      </c>
      <c r="E17" s="76">
        <v>4500</v>
      </c>
      <c r="F17" s="76">
        <v>290</v>
      </c>
      <c r="G17" s="76">
        <f>E17-F17</f>
        <v>4210</v>
      </c>
      <c r="H17" s="13" t="str">
        <f>IF(G17&gt;3000,$J$5,IF(G17&lt;=0,$J$7,$J$6))</f>
        <v>APROVADO</v>
      </c>
    </row>
    <row r="18" spans="2:18" s="32" customFormat="1" ht="12.75" x14ac:dyDescent="0.2">
      <c r="B18" s="16" t="s">
        <v>179</v>
      </c>
      <c r="C18" s="80">
        <f>G18</f>
        <v>3800</v>
      </c>
      <c r="D18" s="16" t="s">
        <v>162</v>
      </c>
      <c r="E18" s="76">
        <v>5000</v>
      </c>
      <c r="F18" s="76">
        <v>1200</v>
      </c>
      <c r="G18" s="76">
        <f>E18-F18</f>
        <v>3800</v>
      </c>
      <c r="H18" s="13" t="str">
        <f>IF(G18&gt;3000,$J$5,IF(G18&lt;=0,$J$7,$J$6))</f>
        <v>APROVADO</v>
      </c>
    </row>
    <row r="19" spans="2:18" s="32" customFormat="1" ht="12.75" x14ac:dyDescent="0.2">
      <c r="B19" s="16" t="s">
        <v>168</v>
      </c>
      <c r="C19" s="80">
        <f>G19</f>
        <v>5000</v>
      </c>
      <c r="D19" s="16" t="s">
        <v>160</v>
      </c>
      <c r="E19" s="76">
        <v>6200</v>
      </c>
      <c r="F19" s="76">
        <v>1200</v>
      </c>
      <c r="G19" s="76">
        <f>E19-F19</f>
        <v>5000</v>
      </c>
      <c r="H19" s="13" t="str">
        <f>IF(G19&gt;3000,$J$5,IF(G19&lt;=0,$J$7,$J$6))</f>
        <v>APROVADO</v>
      </c>
      <c r="R19" s="13"/>
    </row>
    <row r="20" spans="2:18" s="32" customFormat="1" ht="12.75" x14ac:dyDescent="0.2">
      <c r="B20" s="16" t="s">
        <v>177</v>
      </c>
      <c r="C20" s="80">
        <f>G20</f>
        <v>12548.21</v>
      </c>
      <c r="D20" s="16" t="s">
        <v>160</v>
      </c>
      <c r="E20" s="76">
        <v>12548.21</v>
      </c>
      <c r="F20" s="76"/>
      <c r="G20" s="76">
        <f>E20-F20</f>
        <v>12548.21</v>
      </c>
      <c r="H20" s="13" t="str">
        <f>IF(G20&gt;3000,$J$5,IF(G20&lt;=0,$J$7,$J$6))</f>
        <v>APROVADO</v>
      </c>
      <c r="R20" s="13"/>
    </row>
    <row r="21" spans="2:18" s="32" customFormat="1" x14ac:dyDescent="0.25">
      <c r="R21"/>
    </row>
    <row r="22" spans="2:18" s="32" customFormat="1" x14ac:dyDescent="0.25">
      <c r="R22"/>
    </row>
  </sheetData>
  <autoFilter ref="B5:H20">
    <sortState ref="B6:H20">
      <sortCondition ref="E5:E20"/>
    </sortState>
  </autoFilter>
  <conditionalFormatting sqref="C6:C20">
    <cfRule type="iconSet" priority="2">
      <iconSet>
        <cfvo type="percent" val="0"/>
        <cfvo type="num" val="0"/>
        <cfvo type="num" val="3000"/>
      </iconSet>
    </cfRule>
    <cfRule type="iconSet" priority="1">
      <iconSet showValue="0">
        <cfvo type="percent" val="0"/>
        <cfvo type="num" val="0"/>
        <cfvo type="num" val="3000" gte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"/>
  <sheetViews>
    <sheetView showGridLines="0" workbookViewId="0">
      <selection activeCell="G4" sqref="G4:H9"/>
    </sheetView>
  </sheetViews>
  <sheetFormatPr defaultRowHeight="15" x14ac:dyDescent="0.25"/>
  <cols>
    <col min="6" max="6" width="5.7109375" customWidth="1"/>
    <col min="7" max="7" width="15.85546875" customWidth="1"/>
  </cols>
  <sheetData>
    <row r="1" spans="1:18" ht="65.25" customHeight="1" x14ac:dyDescent="0.25"/>
    <row r="2" spans="1:18" ht="15.75" x14ac:dyDescent="0.25">
      <c r="A2" s="86" t="s">
        <v>181</v>
      </c>
      <c r="B2" s="85" t="s">
        <v>182</v>
      </c>
      <c r="F2" s="86" t="s">
        <v>183</v>
      </c>
      <c r="G2" s="85" t="s">
        <v>184</v>
      </c>
      <c r="H2" s="85"/>
      <c r="J2" s="6" t="s">
        <v>19</v>
      </c>
      <c r="K2" s="2"/>
      <c r="L2" s="2"/>
      <c r="M2" s="2"/>
      <c r="N2" s="2"/>
      <c r="O2" s="2"/>
      <c r="P2" s="2"/>
      <c r="Q2" s="2"/>
      <c r="R2" s="2"/>
    </row>
    <row r="3" spans="1:18" x14ac:dyDescent="0.25">
      <c r="J3" s="48" t="s">
        <v>185</v>
      </c>
    </row>
    <row r="4" spans="1:18" x14ac:dyDescent="0.25">
      <c r="B4" s="82" t="s">
        <v>186</v>
      </c>
      <c r="C4" s="82" t="s">
        <v>187</v>
      </c>
      <c r="D4" s="82" t="s">
        <v>188</v>
      </c>
      <c r="G4" s="97" t="s">
        <v>189</v>
      </c>
      <c r="H4" s="98"/>
      <c r="J4" s="48" t="s">
        <v>190</v>
      </c>
    </row>
    <row r="5" spans="1:18" x14ac:dyDescent="0.25">
      <c r="B5" t="s">
        <v>56</v>
      </c>
      <c r="C5" s="83">
        <v>300000</v>
      </c>
      <c r="D5" s="83">
        <v>287545</v>
      </c>
      <c r="G5" t="s">
        <v>191</v>
      </c>
      <c r="H5" s="84">
        <v>0.26300000000000001</v>
      </c>
      <c r="J5" s="48" t="s">
        <v>192</v>
      </c>
    </row>
    <row r="6" spans="1:18" x14ac:dyDescent="0.25">
      <c r="B6" t="s">
        <v>57</v>
      </c>
      <c r="C6" s="83">
        <v>315000</v>
      </c>
      <c r="D6" s="83">
        <v>268345</v>
      </c>
      <c r="G6" t="s">
        <v>193</v>
      </c>
      <c r="H6" s="84">
        <v>0.41499999999999998</v>
      </c>
      <c r="J6" s="48" t="s">
        <v>194</v>
      </c>
    </row>
    <row r="7" spans="1:18" x14ac:dyDescent="0.25">
      <c r="B7" t="s">
        <v>58</v>
      </c>
      <c r="C7" s="83">
        <v>330750</v>
      </c>
      <c r="D7" s="83">
        <v>308334</v>
      </c>
      <c r="G7" t="s">
        <v>195</v>
      </c>
      <c r="H7" s="84">
        <v>0.24399999999999999</v>
      </c>
      <c r="J7" s="48" t="s">
        <v>196</v>
      </c>
    </row>
    <row r="8" spans="1:18" x14ac:dyDescent="0.25">
      <c r="B8" t="s">
        <v>59</v>
      </c>
      <c r="C8" s="83">
        <v>347287.5</v>
      </c>
      <c r="D8" s="83">
        <v>319202</v>
      </c>
      <c r="G8" t="s">
        <v>197</v>
      </c>
      <c r="H8" s="84">
        <v>4.8000000000000001E-2</v>
      </c>
      <c r="J8" s="48" t="s">
        <v>198</v>
      </c>
    </row>
    <row r="9" spans="1:18" x14ac:dyDescent="0.25">
      <c r="B9" t="s">
        <v>60</v>
      </c>
      <c r="C9" s="83">
        <v>364651.875</v>
      </c>
      <c r="D9" s="83">
        <v>394983</v>
      </c>
      <c r="G9" t="s">
        <v>199</v>
      </c>
      <c r="H9" s="84">
        <v>0.03</v>
      </c>
      <c r="J9" s="48" t="s">
        <v>200</v>
      </c>
    </row>
    <row r="10" spans="1:18" x14ac:dyDescent="0.25">
      <c r="B10" t="s">
        <v>61</v>
      </c>
      <c r="C10" s="83">
        <v>382884.46875</v>
      </c>
      <c r="D10" s="83">
        <v>325832</v>
      </c>
      <c r="J10" s="48" t="s">
        <v>201</v>
      </c>
    </row>
    <row r="11" spans="1:18" x14ac:dyDescent="0.25">
      <c r="B11" t="s">
        <v>202</v>
      </c>
      <c r="C11" s="83">
        <v>402028.69218750001</v>
      </c>
      <c r="D11" s="83">
        <v>345932</v>
      </c>
      <c r="J11" s="48" t="s">
        <v>203</v>
      </c>
    </row>
    <row r="12" spans="1:18" x14ac:dyDescent="0.25">
      <c r="B12" t="s">
        <v>204</v>
      </c>
      <c r="C12" s="83">
        <v>422130.12679687503</v>
      </c>
      <c r="D12" s="83">
        <v>456933</v>
      </c>
    </row>
    <row r="13" spans="1:18" x14ac:dyDescent="0.25">
      <c r="B13" t="s">
        <v>205</v>
      </c>
      <c r="C13" s="83">
        <v>443236.63313671882</v>
      </c>
      <c r="D13" s="83">
        <v>440250</v>
      </c>
    </row>
    <row r="14" spans="1:18" x14ac:dyDescent="0.25">
      <c r="B14" t="s">
        <v>206</v>
      </c>
      <c r="C14" s="83">
        <v>465398.4647935548</v>
      </c>
      <c r="D14" s="83">
        <v>500100</v>
      </c>
    </row>
    <row r="15" spans="1:18" x14ac:dyDescent="0.25">
      <c r="B15" t="s">
        <v>207</v>
      </c>
      <c r="C15" s="83">
        <v>488668.38803323254</v>
      </c>
      <c r="D15" s="83">
        <v>480355</v>
      </c>
    </row>
    <row r="16" spans="1:18" x14ac:dyDescent="0.25">
      <c r="B16" t="s">
        <v>208</v>
      </c>
      <c r="C16" s="83">
        <v>513101.8074348942</v>
      </c>
      <c r="D16" s="83">
        <v>520030</v>
      </c>
    </row>
  </sheetData>
  <mergeCells count="1">
    <mergeCell ref="G4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M11" sqref="M11"/>
    </sheetView>
  </sheetViews>
  <sheetFormatPr defaultRowHeight="15" x14ac:dyDescent="0.25"/>
  <sheetData>
    <row r="1" ht="57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O31"/>
  <sheetViews>
    <sheetView showGridLines="0" tabSelected="1" topLeftCell="A7" workbookViewId="0">
      <selection activeCell="F7" sqref="F7"/>
    </sheetView>
  </sheetViews>
  <sheetFormatPr defaultRowHeight="15" x14ac:dyDescent="0.25"/>
  <cols>
    <col min="2" max="2" width="29.42578125" customWidth="1"/>
    <col min="3" max="3" width="14.7109375" bestFit="1" customWidth="1"/>
  </cols>
  <sheetData>
    <row r="6" spans="2:15" x14ac:dyDescent="0.25">
      <c r="C6" t="s">
        <v>399</v>
      </c>
      <c r="H6" s="6" t="s">
        <v>19</v>
      </c>
      <c r="I6" s="6"/>
      <c r="J6" s="6"/>
      <c r="K6" s="6"/>
      <c r="L6" s="6"/>
      <c r="M6" s="2"/>
      <c r="N6" s="2"/>
      <c r="O6" s="2"/>
    </row>
    <row r="7" spans="2:15" x14ac:dyDescent="0.25">
      <c r="B7" s="99" t="s">
        <v>358</v>
      </c>
      <c r="C7" s="83"/>
      <c r="H7" s="48" t="s">
        <v>209</v>
      </c>
    </row>
    <row r="8" spans="2:15" x14ac:dyDescent="0.25">
      <c r="B8" s="100" t="s">
        <v>390</v>
      </c>
      <c r="C8" s="83">
        <v>378900</v>
      </c>
      <c r="H8" s="48" t="s">
        <v>210</v>
      </c>
    </row>
    <row r="9" spans="2:15" x14ac:dyDescent="0.25">
      <c r="B9" s="100" t="s">
        <v>394</v>
      </c>
      <c r="C9" s="83">
        <v>371800</v>
      </c>
      <c r="H9" s="48" t="s">
        <v>211</v>
      </c>
    </row>
    <row r="10" spans="2:15" x14ac:dyDescent="0.25">
      <c r="B10" s="100" t="s">
        <v>388</v>
      </c>
      <c r="C10" s="83">
        <v>357800</v>
      </c>
      <c r="H10" s="48" t="s">
        <v>212</v>
      </c>
    </row>
    <row r="11" spans="2:15" x14ac:dyDescent="0.25">
      <c r="B11" s="100" t="s">
        <v>366</v>
      </c>
      <c r="C11" s="83">
        <v>297200</v>
      </c>
      <c r="H11" s="48" t="s">
        <v>213</v>
      </c>
    </row>
    <row r="12" spans="2:15" x14ac:dyDescent="0.25">
      <c r="B12" s="100" t="s">
        <v>362</v>
      </c>
      <c r="C12" s="83">
        <v>270100</v>
      </c>
      <c r="H12" s="48" t="s">
        <v>214</v>
      </c>
    </row>
    <row r="13" spans="2:15" x14ac:dyDescent="0.25">
      <c r="B13" s="99" t="s">
        <v>396</v>
      </c>
      <c r="C13" s="83">
        <v>1675800</v>
      </c>
      <c r="H13" s="48" t="s">
        <v>215</v>
      </c>
    </row>
    <row r="14" spans="2:15" x14ac:dyDescent="0.25">
      <c r="B14" s="99"/>
      <c r="C14" s="83"/>
      <c r="H14" s="48" t="s">
        <v>216</v>
      </c>
    </row>
    <row r="15" spans="2:15" x14ac:dyDescent="0.25">
      <c r="B15" s="99" t="s">
        <v>226</v>
      </c>
      <c r="C15" s="83"/>
      <c r="H15" s="48" t="s">
        <v>217</v>
      </c>
    </row>
    <row r="16" spans="2:15" x14ac:dyDescent="0.25">
      <c r="B16" s="100" t="s">
        <v>300</v>
      </c>
      <c r="C16" s="83">
        <v>499500</v>
      </c>
      <c r="H16" s="48" t="s">
        <v>218</v>
      </c>
    </row>
    <row r="17" spans="2:8" x14ac:dyDescent="0.25">
      <c r="B17" s="100" t="s">
        <v>294</v>
      </c>
      <c r="C17" s="83">
        <v>493500</v>
      </c>
      <c r="H17" s="48" t="s">
        <v>217</v>
      </c>
    </row>
    <row r="18" spans="2:8" x14ac:dyDescent="0.25">
      <c r="B18" s="100" t="s">
        <v>292</v>
      </c>
      <c r="C18" s="83">
        <v>493050</v>
      </c>
      <c r="H18" s="48" t="s">
        <v>219</v>
      </c>
    </row>
    <row r="19" spans="2:8" x14ac:dyDescent="0.25">
      <c r="B19" s="100" t="s">
        <v>290</v>
      </c>
      <c r="C19" s="83">
        <v>492600</v>
      </c>
      <c r="H19" s="48" t="s">
        <v>220</v>
      </c>
    </row>
    <row r="20" spans="2:8" x14ac:dyDescent="0.25">
      <c r="B20" s="100" t="s">
        <v>268</v>
      </c>
      <c r="C20" s="83">
        <v>492400</v>
      </c>
      <c r="H20" s="48" t="s">
        <v>221</v>
      </c>
    </row>
    <row r="21" spans="2:8" x14ac:dyDescent="0.25">
      <c r="B21" s="99" t="s">
        <v>397</v>
      </c>
      <c r="C21" s="83">
        <v>2471050</v>
      </c>
    </row>
    <row r="22" spans="2:8" x14ac:dyDescent="0.25">
      <c r="B22" s="99"/>
      <c r="C22" s="83"/>
    </row>
    <row r="23" spans="2:8" x14ac:dyDescent="0.25">
      <c r="B23" s="99" t="s">
        <v>315</v>
      </c>
      <c r="C23" s="83"/>
    </row>
    <row r="24" spans="2:8" x14ac:dyDescent="0.25">
      <c r="B24" s="100" t="s">
        <v>347</v>
      </c>
      <c r="C24" s="83">
        <v>269500</v>
      </c>
    </row>
    <row r="25" spans="2:8" x14ac:dyDescent="0.25">
      <c r="B25" s="100" t="s">
        <v>355</v>
      </c>
      <c r="C25" s="83">
        <v>252000</v>
      </c>
    </row>
    <row r="26" spans="2:8" x14ac:dyDescent="0.25">
      <c r="B26" s="100" t="s">
        <v>351</v>
      </c>
      <c r="C26" s="83">
        <v>227600</v>
      </c>
    </row>
    <row r="27" spans="2:8" x14ac:dyDescent="0.25">
      <c r="B27" s="100" t="s">
        <v>319</v>
      </c>
      <c r="C27" s="83">
        <v>195500</v>
      </c>
    </row>
    <row r="28" spans="2:8" x14ac:dyDescent="0.25">
      <c r="B28" s="100" t="s">
        <v>353</v>
      </c>
      <c r="C28" s="83">
        <v>195300</v>
      </c>
    </row>
    <row r="29" spans="2:8" x14ac:dyDescent="0.25">
      <c r="B29" s="99" t="s">
        <v>398</v>
      </c>
      <c r="C29" s="83">
        <v>1139900</v>
      </c>
    </row>
    <row r="30" spans="2:8" x14ac:dyDescent="0.25">
      <c r="B30" s="99"/>
      <c r="C30" s="83"/>
    </row>
    <row r="31" spans="2:8" x14ac:dyDescent="0.25">
      <c r="B31" s="99" t="s">
        <v>395</v>
      </c>
      <c r="C31" s="83">
        <v>5286750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5"/>
  <sheetViews>
    <sheetView showGridLines="0" workbookViewId="0"/>
  </sheetViews>
  <sheetFormatPr defaultRowHeight="11.25" x14ac:dyDescent="0.2"/>
  <cols>
    <col min="1" max="1" width="8" style="78" bestFit="1" customWidth="1"/>
    <col min="2" max="2" width="25.28515625" style="78" bestFit="1" customWidth="1"/>
    <col min="3" max="3" width="5.5703125" style="81" bestFit="1" customWidth="1"/>
    <col min="4" max="4" width="9.140625" style="78" customWidth="1"/>
    <col min="5" max="16384" width="9.140625" style="78"/>
  </cols>
  <sheetData>
    <row r="1" spans="1:8" x14ac:dyDescent="0.2">
      <c r="A1" s="77" t="s">
        <v>222</v>
      </c>
      <c r="B1" s="77" t="s">
        <v>6</v>
      </c>
      <c r="C1" s="77" t="s">
        <v>223</v>
      </c>
      <c r="D1" s="77" t="s">
        <v>17</v>
      </c>
    </row>
    <row r="2" spans="1:8" x14ac:dyDescent="0.2">
      <c r="A2" s="78" t="s">
        <v>224</v>
      </c>
      <c r="B2" s="78" t="s">
        <v>225</v>
      </c>
      <c r="C2" s="81" t="s">
        <v>226</v>
      </c>
      <c r="D2" s="79">
        <v>378700</v>
      </c>
      <c r="H2" s="79"/>
    </row>
    <row r="3" spans="1:8" x14ac:dyDescent="0.2">
      <c r="A3" s="78" t="s">
        <v>227</v>
      </c>
      <c r="B3" s="78" t="s">
        <v>228</v>
      </c>
      <c r="C3" s="81" t="s">
        <v>226</v>
      </c>
      <c r="D3" s="79">
        <v>331000</v>
      </c>
    </row>
    <row r="4" spans="1:8" x14ac:dyDescent="0.2">
      <c r="A4" s="78" t="s">
        <v>229</v>
      </c>
      <c r="B4" s="78" t="s">
        <v>230</v>
      </c>
      <c r="C4" s="81" t="s">
        <v>226</v>
      </c>
      <c r="D4" s="79">
        <v>376900</v>
      </c>
    </row>
    <row r="5" spans="1:8" x14ac:dyDescent="0.2">
      <c r="A5" s="78" t="s">
        <v>231</v>
      </c>
      <c r="B5" s="78" t="s">
        <v>232</v>
      </c>
      <c r="C5" s="81" t="s">
        <v>226</v>
      </c>
      <c r="D5" s="79">
        <v>217500</v>
      </c>
    </row>
    <row r="6" spans="1:8" x14ac:dyDescent="0.2">
      <c r="A6" s="78" t="s">
        <v>233</v>
      </c>
      <c r="B6" s="78" t="s">
        <v>234</v>
      </c>
      <c r="C6" s="81" t="s">
        <v>226</v>
      </c>
      <c r="D6" s="79">
        <v>309200</v>
      </c>
    </row>
    <row r="7" spans="1:8" x14ac:dyDescent="0.2">
      <c r="A7" s="78" t="s">
        <v>235</v>
      </c>
      <c r="B7" s="78" t="s">
        <v>236</v>
      </c>
      <c r="C7" s="81" t="s">
        <v>226</v>
      </c>
      <c r="D7" s="79">
        <v>317700</v>
      </c>
    </row>
    <row r="8" spans="1:8" x14ac:dyDescent="0.2">
      <c r="A8" s="78" t="s">
        <v>237</v>
      </c>
      <c r="B8" s="78" t="s">
        <v>238</v>
      </c>
      <c r="C8" s="81" t="s">
        <v>226</v>
      </c>
      <c r="D8" s="79">
        <v>237200</v>
      </c>
    </row>
    <row r="9" spans="1:8" x14ac:dyDescent="0.2">
      <c r="A9" s="78" t="s">
        <v>239</v>
      </c>
      <c r="B9" s="78" t="s">
        <v>240</v>
      </c>
      <c r="C9" s="81" t="s">
        <v>226</v>
      </c>
      <c r="D9" s="79">
        <v>203000</v>
      </c>
    </row>
    <row r="10" spans="1:8" x14ac:dyDescent="0.2">
      <c r="A10" s="78" t="s">
        <v>241</v>
      </c>
      <c r="B10" s="78" t="s">
        <v>242</v>
      </c>
      <c r="C10" s="81" t="s">
        <v>226</v>
      </c>
      <c r="D10" s="79">
        <v>342900</v>
      </c>
    </row>
    <row r="11" spans="1:8" x14ac:dyDescent="0.2">
      <c r="A11" s="78" t="s">
        <v>243</v>
      </c>
      <c r="B11" s="78" t="s">
        <v>244</v>
      </c>
      <c r="C11" s="81" t="s">
        <v>226</v>
      </c>
      <c r="D11" s="79">
        <v>394700</v>
      </c>
    </row>
    <row r="12" spans="1:8" x14ac:dyDescent="0.2">
      <c r="A12" s="78" t="s">
        <v>245</v>
      </c>
      <c r="B12" s="78" t="s">
        <v>246</v>
      </c>
      <c r="C12" s="81" t="s">
        <v>226</v>
      </c>
      <c r="D12" s="79">
        <v>270200</v>
      </c>
    </row>
    <row r="13" spans="1:8" x14ac:dyDescent="0.2">
      <c r="A13" s="78" t="s">
        <v>247</v>
      </c>
      <c r="B13" s="78" t="s">
        <v>248</v>
      </c>
      <c r="C13" s="81" t="s">
        <v>226</v>
      </c>
      <c r="D13" s="79">
        <v>380200</v>
      </c>
    </row>
    <row r="14" spans="1:8" x14ac:dyDescent="0.2">
      <c r="A14" s="78" t="s">
        <v>249</v>
      </c>
      <c r="B14" s="78" t="s">
        <v>250</v>
      </c>
      <c r="C14" s="81" t="s">
        <v>226</v>
      </c>
      <c r="D14" s="79">
        <v>398500</v>
      </c>
    </row>
    <row r="15" spans="1:8" x14ac:dyDescent="0.2">
      <c r="A15" s="78" t="s">
        <v>251</v>
      </c>
      <c r="B15" s="78" t="s">
        <v>252</v>
      </c>
      <c r="C15" s="81" t="s">
        <v>226</v>
      </c>
      <c r="D15" s="79">
        <v>242400</v>
      </c>
    </row>
    <row r="16" spans="1:8" x14ac:dyDescent="0.2">
      <c r="A16" s="78" t="s">
        <v>253</v>
      </c>
      <c r="B16" s="78" t="s">
        <v>254</v>
      </c>
      <c r="C16" s="81" t="s">
        <v>226</v>
      </c>
      <c r="D16" s="79">
        <v>284800</v>
      </c>
    </row>
    <row r="17" spans="1:4" x14ac:dyDescent="0.2">
      <c r="A17" s="78" t="s">
        <v>255</v>
      </c>
      <c r="B17" s="78" t="s">
        <v>256</v>
      </c>
      <c r="C17" s="81" t="s">
        <v>226</v>
      </c>
      <c r="D17" s="79">
        <v>228200</v>
      </c>
    </row>
    <row r="18" spans="1:4" x14ac:dyDescent="0.2">
      <c r="A18" s="78" t="s">
        <v>257</v>
      </c>
      <c r="B18" s="78" t="s">
        <v>258</v>
      </c>
      <c r="C18" s="81" t="s">
        <v>226</v>
      </c>
      <c r="D18" s="79">
        <v>361500</v>
      </c>
    </row>
    <row r="19" spans="1:4" x14ac:dyDescent="0.2">
      <c r="A19" s="78" t="s">
        <v>259</v>
      </c>
      <c r="B19" s="78" t="s">
        <v>260</v>
      </c>
      <c r="C19" s="81" t="s">
        <v>226</v>
      </c>
      <c r="D19" s="79">
        <v>273600</v>
      </c>
    </row>
    <row r="20" spans="1:4" x14ac:dyDescent="0.2">
      <c r="A20" s="78" t="s">
        <v>261</v>
      </c>
      <c r="B20" s="78" t="s">
        <v>262</v>
      </c>
      <c r="C20" s="81" t="s">
        <v>226</v>
      </c>
      <c r="D20" s="79">
        <v>271100</v>
      </c>
    </row>
    <row r="21" spans="1:4" x14ac:dyDescent="0.2">
      <c r="A21" s="78" t="s">
        <v>263</v>
      </c>
      <c r="B21" s="78" t="s">
        <v>264</v>
      </c>
      <c r="C21" s="81" t="s">
        <v>226</v>
      </c>
      <c r="D21" s="79">
        <v>398000</v>
      </c>
    </row>
    <row r="22" spans="1:4" x14ac:dyDescent="0.2">
      <c r="A22" s="78" t="s">
        <v>265</v>
      </c>
      <c r="B22" s="78" t="s">
        <v>266</v>
      </c>
      <c r="C22" s="81" t="s">
        <v>226</v>
      </c>
      <c r="D22" s="79">
        <v>427300</v>
      </c>
    </row>
    <row r="23" spans="1:4" x14ac:dyDescent="0.2">
      <c r="A23" s="78" t="s">
        <v>267</v>
      </c>
      <c r="B23" s="78" t="s">
        <v>268</v>
      </c>
      <c r="C23" s="81" t="s">
        <v>226</v>
      </c>
      <c r="D23" s="79">
        <v>492400</v>
      </c>
    </row>
    <row r="24" spans="1:4" x14ac:dyDescent="0.2">
      <c r="A24" s="78" t="s">
        <v>269</v>
      </c>
      <c r="B24" s="78" t="s">
        <v>270</v>
      </c>
      <c r="C24" s="81" t="s">
        <v>226</v>
      </c>
      <c r="D24" s="79">
        <v>425800</v>
      </c>
    </row>
    <row r="25" spans="1:4" x14ac:dyDescent="0.2">
      <c r="A25" s="78" t="s">
        <v>271</v>
      </c>
      <c r="B25" s="78" t="s">
        <v>272</v>
      </c>
      <c r="C25" s="81" t="s">
        <v>226</v>
      </c>
      <c r="D25" s="79">
        <v>445600</v>
      </c>
    </row>
    <row r="26" spans="1:4" x14ac:dyDescent="0.2">
      <c r="A26" s="78" t="s">
        <v>273</v>
      </c>
      <c r="B26" s="78" t="s">
        <v>274</v>
      </c>
      <c r="C26" s="81" t="s">
        <v>226</v>
      </c>
      <c r="D26" s="79">
        <v>192200</v>
      </c>
    </row>
    <row r="27" spans="1:4" x14ac:dyDescent="0.2">
      <c r="A27" s="78" t="s">
        <v>275</v>
      </c>
      <c r="B27" s="78" t="s">
        <v>276</v>
      </c>
      <c r="C27" s="81" t="s">
        <v>226</v>
      </c>
      <c r="D27" s="79">
        <v>423400</v>
      </c>
    </row>
    <row r="28" spans="1:4" x14ac:dyDescent="0.2">
      <c r="A28" s="78" t="s">
        <v>277</v>
      </c>
      <c r="B28" s="78" t="s">
        <v>278</v>
      </c>
      <c r="C28" s="81" t="s">
        <v>226</v>
      </c>
      <c r="D28" s="79">
        <v>465000</v>
      </c>
    </row>
    <row r="29" spans="1:4" x14ac:dyDescent="0.2">
      <c r="A29" s="78" t="s">
        <v>279</v>
      </c>
      <c r="B29" s="78" t="s">
        <v>280</v>
      </c>
      <c r="C29" s="81" t="s">
        <v>226</v>
      </c>
      <c r="D29" s="79">
        <v>424200</v>
      </c>
    </row>
    <row r="30" spans="1:4" x14ac:dyDescent="0.2">
      <c r="A30" s="78" t="s">
        <v>281</v>
      </c>
      <c r="B30" s="78" t="s">
        <v>282</v>
      </c>
      <c r="C30" s="81" t="s">
        <v>226</v>
      </c>
      <c r="D30" s="79">
        <v>471800</v>
      </c>
    </row>
    <row r="31" spans="1:4" x14ac:dyDescent="0.2">
      <c r="A31" s="78" t="s">
        <v>283</v>
      </c>
      <c r="B31" s="78" t="s">
        <v>284</v>
      </c>
      <c r="C31" s="81" t="s">
        <v>226</v>
      </c>
      <c r="D31" s="79">
        <v>422600</v>
      </c>
    </row>
    <row r="32" spans="1:4" x14ac:dyDescent="0.2">
      <c r="A32" s="78" t="s">
        <v>285</v>
      </c>
      <c r="B32" s="78" t="s">
        <v>286</v>
      </c>
      <c r="C32" s="81" t="s">
        <v>226</v>
      </c>
      <c r="D32" s="79">
        <v>460500</v>
      </c>
    </row>
    <row r="33" spans="1:4" x14ac:dyDescent="0.2">
      <c r="A33" s="78" t="s">
        <v>287</v>
      </c>
      <c r="B33" s="78" t="s">
        <v>288</v>
      </c>
      <c r="C33" s="81" t="s">
        <v>226</v>
      </c>
      <c r="D33" s="79">
        <v>426500</v>
      </c>
    </row>
    <row r="34" spans="1:4" x14ac:dyDescent="0.2">
      <c r="A34" s="78" t="s">
        <v>289</v>
      </c>
      <c r="B34" s="78" t="s">
        <v>290</v>
      </c>
      <c r="C34" s="81" t="s">
        <v>226</v>
      </c>
      <c r="D34" s="79">
        <v>492600</v>
      </c>
    </row>
    <row r="35" spans="1:4" x14ac:dyDescent="0.2">
      <c r="A35" s="78" t="s">
        <v>291</v>
      </c>
      <c r="B35" s="78" t="s">
        <v>292</v>
      </c>
      <c r="C35" s="81" t="s">
        <v>226</v>
      </c>
      <c r="D35" s="79">
        <v>493050</v>
      </c>
    </row>
    <row r="36" spans="1:4" x14ac:dyDescent="0.2">
      <c r="A36" s="78" t="s">
        <v>293</v>
      </c>
      <c r="B36" s="78" t="s">
        <v>294</v>
      </c>
      <c r="C36" s="81" t="s">
        <v>226</v>
      </c>
      <c r="D36" s="79">
        <v>493500</v>
      </c>
    </row>
    <row r="37" spans="1:4" x14ac:dyDescent="0.2">
      <c r="A37" s="78" t="s">
        <v>295</v>
      </c>
      <c r="B37" s="78" t="s">
        <v>296</v>
      </c>
      <c r="C37" s="81" t="s">
        <v>226</v>
      </c>
      <c r="D37" s="79">
        <v>417800</v>
      </c>
    </row>
    <row r="38" spans="1:4" x14ac:dyDescent="0.2">
      <c r="A38" s="78" t="s">
        <v>297</v>
      </c>
      <c r="B38" s="78" t="s">
        <v>298</v>
      </c>
      <c r="C38" s="81" t="s">
        <v>226</v>
      </c>
      <c r="D38" s="79">
        <v>433100</v>
      </c>
    </row>
    <row r="39" spans="1:4" x14ac:dyDescent="0.2">
      <c r="A39" s="78" t="s">
        <v>299</v>
      </c>
      <c r="B39" s="78" t="s">
        <v>300</v>
      </c>
      <c r="C39" s="81" t="s">
        <v>226</v>
      </c>
      <c r="D39" s="79">
        <v>499500</v>
      </c>
    </row>
    <row r="40" spans="1:4" x14ac:dyDescent="0.2">
      <c r="A40" s="78" t="s">
        <v>301</v>
      </c>
      <c r="B40" s="78" t="s">
        <v>302</v>
      </c>
      <c r="C40" s="81" t="s">
        <v>226</v>
      </c>
      <c r="D40" s="79">
        <v>445200</v>
      </c>
    </row>
    <row r="41" spans="1:4" x14ac:dyDescent="0.2">
      <c r="A41" s="78" t="s">
        <v>303</v>
      </c>
      <c r="B41" s="78" t="s">
        <v>304</v>
      </c>
      <c r="C41" s="81" t="s">
        <v>226</v>
      </c>
      <c r="D41" s="79">
        <v>442200</v>
      </c>
    </row>
    <row r="42" spans="1:4" x14ac:dyDescent="0.2">
      <c r="A42" s="78" t="s">
        <v>305</v>
      </c>
      <c r="B42" s="78" t="s">
        <v>306</v>
      </c>
      <c r="C42" s="81" t="s">
        <v>226</v>
      </c>
      <c r="D42" s="79">
        <v>167500</v>
      </c>
    </row>
    <row r="43" spans="1:4" x14ac:dyDescent="0.2">
      <c r="A43" s="78" t="s">
        <v>307</v>
      </c>
      <c r="B43" s="78" t="s">
        <v>308</v>
      </c>
      <c r="C43" s="81" t="s">
        <v>226</v>
      </c>
      <c r="D43" s="79">
        <v>111500</v>
      </c>
    </row>
    <row r="44" spans="1:4" x14ac:dyDescent="0.2">
      <c r="A44" s="78" t="s">
        <v>309</v>
      </c>
      <c r="B44" s="78" t="s">
        <v>310</v>
      </c>
      <c r="C44" s="81" t="s">
        <v>226</v>
      </c>
      <c r="D44" s="79">
        <v>175000</v>
      </c>
    </row>
    <row r="45" spans="1:4" x14ac:dyDescent="0.2">
      <c r="A45" s="78" t="s">
        <v>311</v>
      </c>
      <c r="B45" s="78" t="s">
        <v>312</v>
      </c>
      <c r="C45" s="81" t="s">
        <v>226</v>
      </c>
      <c r="D45" s="79">
        <v>116600</v>
      </c>
    </row>
    <row r="46" spans="1:4" x14ac:dyDescent="0.2">
      <c r="A46" s="78" t="s">
        <v>313</v>
      </c>
      <c r="B46" s="78" t="s">
        <v>314</v>
      </c>
      <c r="C46" s="81" t="s">
        <v>315</v>
      </c>
      <c r="D46" s="79">
        <v>171400</v>
      </c>
    </row>
    <row r="47" spans="1:4" x14ac:dyDescent="0.2">
      <c r="A47" s="78" t="s">
        <v>316</v>
      </c>
      <c r="B47" s="78" t="s">
        <v>317</v>
      </c>
      <c r="C47" s="81" t="s">
        <v>315</v>
      </c>
      <c r="D47" s="79">
        <v>193600</v>
      </c>
    </row>
    <row r="48" spans="1:4" x14ac:dyDescent="0.2">
      <c r="A48" s="78" t="s">
        <v>318</v>
      </c>
      <c r="B48" s="78" t="s">
        <v>319</v>
      </c>
      <c r="C48" s="81" t="s">
        <v>315</v>
      </c>
      <c r="D48" s="79">
        <v>195500</v>
      </c>
    </row>
    <row r="49" spans="1:4" x14ac:dyDescent="0.2">
      <c r="A49" s="78" t="s">
        <v>320</v>
      </c>
      <c r="B49" s="78" t="s">
        <v>321</v>
      </c>
      <c r="C49" s="81" t="s">
        <v>315</v>
      </c>
      <c r="D49" s="79">
        <v>152000</v>
      </c>
    </row>
    <row r="50" spans="1:4" x14ac:dyDescent="0.2">
      <c r="A50" s="78" t="s">
        <v>322</v>
      </c>
      <c r="B50" s="78" t="s">
        <v>323</v>
      </c>
      <c r="C50" s="81" t="s">
        <v>315</v>
      </c>
      <c r="D50" s="79">
        <v>114900</v>
      </c>
    </row>
    <row r="51" spans="1:4" x14ac:dyDescent="0.2">
      <c r="A51" s="78" t="s">
        <v>324</v>
      </c>
      <c r="B51" s="78" t="s">
        <v>325</v>
      </c>
      <c r="C51" s="81" t="s">
        <v>315</v>
      </c>
      <c r="D51" s="79">
        <v>119900</v>
      </c>
    </row>
    <row r="52" spans="1:4" x14ac:dyDescent="0.2">
      <c r="A52" s="78" t="s">
        <v>326</v>
      </c>
      <c r="B52" s="78" t="s">
        <v>327</v>
      </c>
      <c r="C52" s="81" t="s">
        <v>315</v>
      </c>
      <c r="D52" s="79">
        <v>142800</v>
      </c>
    </row>
    <row r="53" spans="1:4" x14ac:dyDescent="0.2">
      <c r="A53" s="78" t="s">
        <v>328</v>
      </c>
      <c r="B53" s="78" t="s">
        <v>329</v>
      </c>
      <c r="C53" s="81" t="s">
        <v>315</v>
      </c>
      <c r="D53" s="79">
        <v>138700</v>
      </c>
    </row>
    <row r="54" spans="1:4" x14ac:dyDescent="0.2">
      <c r="A54" s="78" t="s">
        <v>330</v>
      </c>
      <c r="B54" s="78" t="s">
        <v>331</v>
      </c>
      <c r="C54" s="81" t="s">
        <v>315</v>
      </c>
      <c r="D54" s="79">
        <v>113500</v>
      </c>
    </row>
    <row r="55" spans="1:4" x14ac:dyDescent="0.2">
      <c r="A55" s="78" t="s">
        <v>332</v>
      </c>
      <c r="B55" s="78" t="s">
        <v>333</v>
      </c>
      <c r="C55" s="81" t="s">
        <v>315</v>
      </c>
      <c r="D55" s="79">
        <v>138800</v>
      </c>
    </row>
    <row r="56" spans="1:4" x14ac:dyDescent="0.2">
      <c r="A56" s="78" t="s">
        <v>334</v>
      </c>
      <c r="B56" s="78" t="s">
        <v>335</v>
      </c>
      <c r="C56" s="81" t="s">
        <v>315</v>
      </c>
      <c r="D56" s="79">
        <v>184400</v>
      </c>
    </row>
    <row r="57" spans="1:4" x14ac:dyDescent="0.2">
      <c r="A57" s="78" t="s">
        <v>336</v>
      </c>
      <c r="B57" s="78" t="s">
        <v>337</v>
      </c>
      <c r="C57" s="81" t="s">
        <v>315</v>
      </c>
      <c r="D57" s="79">
        <v>158200</v>
      </c>
    </row>
    <row r="58" spans="1:4" x14ac:dyDescent="0.2">
      <c r="A58" s="78" t="s">
        <v>338</v>
      </c>
      <c r="B58" s="78" t="s">
        <v>339</v>
      </c>
      <c r="C58" s="81" t="s">
        <v>315</v>
      </c>
      <c r="D58" s="79">
        <v>114920</v>
      </c>
    </row>
    <row r="59" spans="1:4" x14ac:dyDescent="0.2">
      <c r="A59" s="78" t="s">
        <v>340</v>
      </c>
      <c r="B59" s="78" t="s">
        <v>341</v>
      </c>
      <c r="C59" s="81" t="s">
        <v>315</v>
      </c>
      <c r="D59" s="79">
        <v>162700</v>
      </c>
    </row>
    <row r="60" spans="1:4" x14ac:dyDescent="0.2">
      <c r="A60" s="78" t="s">
        <v>342</v>
      </c>
      <c r="B60" s="78" t="s">
        <v>343</v>
      </c>
      <c r="C60" s="81" t="s">
        <v>315</v>
      </c>
      <c r="D60" s="79">
        <v>193500</v>
      </c>
    </row>
    <row r="61" spans="1:4" x14ac:dyDescent="0.2">
      <c r="A61" s="78" t="s">
        <v>344</v>
      </c>
      <c r="B61" s="78" t="s">
        <v>345</v>
      </c>
      <c r="C61" s="81" t="s">
        <v>315</v>
      </c>
      <c r="D61" s="79">
        <v>167500</v>
      </c>
    </row>
    <row r="62" spans="1:4" x14ac:dyDescent="0.2">
      <c r="A62" s="78" t="s">
        <v>346</v>
      </c>
      <c r="B62" s="78" t="s">
        <v>347</v>
      </c>
      <c r="C62" s="81" t="s">
        <v>315</v>
      </c>
      <c r="D62" s="79">
        <v>269500</v>
      </c>
    </row>
    <row r="63" spans="1:4" x14ac:dyDescent="0.2">
      <c r="A63" s="78" t="s">
        <v>348</v>
      </c>
      <c r="B63" s="78" t="s">
        <v>349</v>
      </c>
      <c r="C63" s="81" t="s">
        <v>315</v>
      </c>
      <c r="D63" s="79">
        <v>184500</v>
      </c>
    </row>
    <row r="64" spans="1:4" x14ac:dyDescent="0.2">
      <c r="A64" s="78" t="s">
        <v>350</v>
      </c>
      <c r="B64" s="78" t="s">
        <v>351</v>
      </c>
      <c r="C64" s="81" t="s">
        <v>315</v>
      </c>
      <c r="D64" s="79">
        <v>227600</v>
      </c>
    </row>
    <row r="65" spans="1:4" x14ac:dyDescent="0.2">
      <c r="A65" s="78" t="s">
        <v>352</v>
      </c>
      <c r="B65" s="78" t="s">
        <v>353</v>
      </c>
      <c r="C65" s="81" t="s">
        <v>315</v>
      </c>
      <c r="D65" s="79">
        <v>195300</v>
      </c>
    </row>
    <row r="66" spans="1:4" x14ac:dyDescent="0.2">
      <c r="A66" s="78" t="s">
        <v>354</v>
      </c>
      <c r="B66" s="78" t="s">
        <v>355</v>
      </c>
      <c r="C66" s="81" t="s">
        <v>315</v>
      </c>
      <c r="D66" s="79">
        <v>252000</v>
      </c>
    </row>
    <row r="67" spans="1:4" x14ac:dyDescent="0.2">
      <c r="A67" s="78" t="s">
        <v>356</v>
      </c>
      <c r="B67" s="78" t="s">
        <v>357</v>
      </c>
      <c r="C67" s="81" t="s">
        <v>358</v>
      </c>
      <c r="D67" s="79">
        <v>207900</v>
      </c>
    </row>
    <row r="68" spans="1:4" x14ac:dyDescent="0.2">
      <c r="A68" s="78" t="s">
        <v>359</v>
      </c>
      <c r="B68" s="78" t="s">
        <v>360</v>
      </c>
      <c r="C68" s="81" t="s">
        <v>358</v>
      </c>
      <c r="D68" s="79">
        <v>152600</v>
      </c>
    </row>
    <row r="69" spans="1:4" x14ac:dyDescent="0.2">
      <c r="A69" s="78" t="s">
        <v>361</v>
      </c>
      <c r="B69" s="78" t="s">
        <v>362</v>
      </c>
      <c r="C69" s="81" t="s">
        <v>358</v>
      </c>
      <c r="D69" s="79">
        <v>270100</v>
      </c>
    </row>
    <row r="70" spans="1:4" x14ac:dyDescent="0.2">
      <c r="A70" s="78" t="s">
        <v>363</v>
      </c>
      <c r="B70" s="78" t="s">
        <v>364</v>
      </c>
      <c r="C70" s="81" t="s">
        <v>358</v>
      </c>
      <c r="D70" s="79">
        <v>189200</v>
      </c>
    </row>
    <row r="71" spans="1:4" x14ac:dyDescent="0.2">
      <c r="A71" s="78" t="s">
        <v>365</v>
      </c>
      <c r="B71" s="78" t="s">
        <v>366</v>
      </c>
      <c r="C71" s="81" t="s">
        <v>358</v>
      </c>
      <c r="D71" s="79">
        <v>297200</v>
      </c>
    </row>
    <row r="72" spans="1:4" x14ac:dyDescent="0.2">
      <c r="A72" s="78" t="s">
        <v>367</v>
      </c>
      <c r="B72" s="78" t="s">
        <v>368</v>
      </c>
      <c r="C72" s="81" t="s">
        <v>358</v>
      </c>
      <c r="D72" s="79">
        <v>177500</v>
      </c>
    </row>
    <row r="73" spans="1:4" x14ac:dyDescent="0.2">
      <c r="A73" s="78" t="s">
        <v>369</v>
      </c>
      <c r="B73" s="78" t="s">
        <v>370</v>
      </c>
      <c r="C73" s="81" t="s">
        <v>358</v>
      </c>
      <c r="D73" s="79">
        <v>176300</v>
      </c>
    </row>
    <row r="74" spans="1:4" x14ac:dyDescent="0.2">
      <c r="A74" s="78" t="s">
        <v>371</v>
      </c>
      <c r="B74" s="78" t="s">
        <v>372</v>
      </c>
      <c r="C74" s="81" t="s">
        <v>358</v>
      </c>
      <c r="D74" s="79">
        <v>265300</v>
      </c>
    </row>
    <row r="75" spans="1:4" x14ac:dyDescent="0.2">
      <c r="A75" s="78" t="s">
        <v>373</v>
      </c>
      <c r="B75" s="78" t="s">
        <v>374</v>
      </c>
      <c r="C75" s="81" t="s">
        <v>358</v>
      </c>
      <c r="D75" s="79">
        <v>214600</v>
      </c>
    </row>
    <row r="76" spans="1:4" x14ac:dyDescent="0.2">
      <c r="A76" s="78" t="s">
        <v>375</v>
      </c>
      <c r="B76" s="78" t="s">
        <v>376</v>
      </c>
      <c r="C76" s="81" t="s">
        <v>358</v>
      </c>
      <c r="D76" s="79">
        <v>190100</v>
      </c>
    </row>
    <row r="77" spans="1:4" x14ac:dyDescent="0.2">
      <c r="A77" s="78" t="s">
        <v>377</v>
      </c>
      <c r="B77" s="78" t="s">
        <v>378</v>
      </c>
      <c r="C77" s="81" t="s">
        <v>358</v>
      </c>
      <c r="D77" s="79">
        <v>161700</v>
      </c>
    </row>
    <row r="78" spans="1:4" x14ac:dyDescent="0.2">
      <c r="A78" s="78" t="s">
        <v>379</v>
      </c>
      <c r="B78" s="78" t="s">
        <v>380</v>
      </c>
      <c r="C78" s="81" t="s">
        <v>358</v>
      </c>
      <c r="D78" s="79">
        <v>202400</v>
      </c>
    </row>
    <row r="79" spans="1:4" x14ac:dyDescent="0.2">
      <c r="A79" s="78" t="s">
        <v>381</v>
      </c>
      <c r="B79" s="78" t="s">
        <v>382</v>
      </c>
      <c r="C79" s="81" t="s">
        <v>358</v>
      </c>
      <c r="D79" s="79">
        <v>211100</v>
      </c>
    </row>
    <row r="80" spans="1:4" x14ac:dyDescent="0.2">
      <c r="A80" s="78" t="s">
        <v>383</v>
      </c>
      <c r="B80" s="78" t="s">
        <v>384</v>
      </c>
      <c r="C80" s="81" t="s">
        <v>358</v>
      </c>
      <c r="D80" s="79">
        <v>251100</v>
      </c>
    </row>
    <row r="81" spans="1:4" x14ac:dyDescent="0.2">
      <c r="A81" s="78" t="s">
        <v>385</v>
      </c>
      <c r="B81" s="78" t="s">
        <v>386</v>
      </c>
      <c r="C81" s="81" t="s">
        <v>358</v>
      </c>
      <c r="D81" s="79">
        <v>216700</v>
      </c>
    </row>
    <row r="82" spans="1:4" x14ac:dyDescent="0.2">
      <c r="A82" s="78" t="s">
        <v>387</v>
      </c>
      <c r="B82" s="78" t="s">
        <v>388</v>
      </c>
      <c r="C82" s="81" t="s">
        <v>358</v>
      </c>
      <c r="D82" s="79">
        <v>357800</v>
      </c>
    </row>
    <row r="83" spans="1:4" x14ac:dyDescent="0.2">
      <c r="A83" s="78" t="s">
        <v>389</v>
      </c>
      <c r="B83" s="78" t="s">
        <v>390</v>
      </c>
      <c r="C83" s="81" t="s">
        <v>358</v>
      </c>
      <c r="D83" s="79">
        <v>378900</v>
      </c>
    </row>
    <row r="84" spans="1:4" x14ac:dyDescent="0.2">
      <c r="A84" s="78" t="s">
        <v>391</v>
      </c>
      <c r="B84" s="78" t="s">
        <v>392</v>
      </c>
      <c r="C84" s="81" t="s">
        <v>358</v>
      </c>
      <c r="D84" s="79">
        <v>250700</v>
      </c>
    </row>
    <row r="85" spans="1:4" x14ac:dyDescent="0.2">
      <c r="A85" s="78" t="s">
        <v>393</v>
      </c>
      <c r="B85" s="78" t="s">
        <v>394</v>
      </c>
      <c r="C85" s="81" t="s">
        <v>358</v>
      </c>
      <c r="D85" s="79">
        <v>371800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Q1</vt:lpstr>
      <vt:lpstr>Q2</vt:lpstr>
      <vt:lpstr>Q3</vt:lpstr>
      <vt:lpstr>Dados KPI</vt:lpstr>
      <vt:lpstr>Q4</vt:lpstr>
      <vt:lpstr>À Fazer Q5</vt:lpstr>
      <vt:lpstr>Q5</vt:lpstr>
      <vt:lpstr>Q6</vt:lpstr>
      <vt:lpstr>À Fazer Q7</vt:lpstr>
      <vt:lpstr>Q7</vt:lpstr>
      <vt:lpstr>Q8</vt:lpstr>
      <vt:lpstr>Q8 Dados</vt:lpstr>
      <vt:lpstr>Local</vt:lpstr>
      <vt:lpstr>Produto</vt:lpstr>
      <vt:lpstr>Vendas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Newton Roberto Nunes da Silva</dc:creator>
  <cp:keywords/>
  <dc:description/>
  <cp:lastModifiedBy>Bruno</cp:lastModifiedBy>
  <cp:revision/>
  <dcterms:created xsi:type="dcterms:W3CDTF">2020-04-13T16:00:51Z</dcterms:created>
  <dcterms:modified xsi:type="dcterms:W3CDTF">2022-01-14T00:34:07Z</dcterms:modified>
  <cp:category/>
  <cp:contentStatus/>
</cp:coreProperties>
</file>